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C:\Users\snv\Downloads\"/>
    </mc:Choice>
  </mc:AlternateContent>
  <xr:revisionPtr revIDLastSave="0" documentId="8_{DDD692DE-45C5-42AE-B241-18E965B17737}" xr6:coauthVersionLast="47" xr6:coauthVersionMax="47" xr10:uidLastSave="{00000000-0000-0000-0000-000000000000}"/>
  <bookViews>
    <workbookView xWindow="-120" yWindow="-120" windowWidth="29040" windowHeight="15720" firstSheet="12" activeTab="9" xr2:uid="{41E52190-9EEB-4DD3-ABBA-4CAF8812DBCA}"/>
  </bookViews>
  <sheets>
    <sheet name="b2b,sez,de" sheetId="1" r:id="rId1"/>
    <sheet name="b2cl" sheetId="3" r:id="rId2"/>
    <sheet name="b2cs" sheetId="4" r:id="rId3"/>
    <sheet name="cdnr" sheetId="5" r:id="rId4"/>
    <sheet name="cdnur" sheetId="6" r:id="rId5"/>
    <sheet name="exp" sheetId="7" r:id="rId6"/>
    <sheet name="at" sheetId="8" r:id="rId7"/>
    <sheet name="atadj" sheetId="9" r:id="rId8"/>
    <sheet name="exemp" sheetId="10" r:id="rId9"/>
    <sheet name="hsn" sheetId="11" r:id="rId10"/>
    <sheet name="docs" sheetId="13" r:id="rId11"/>
    <sheet name="eco" sheetId="14" r:id="rId12"/>
    <sheet name="master" sheetId="15" r:id="rId13"/>
  </sheets>
  <definedNames>
    <definedName name="CDRNOTE">master!$D$2:$D$3</definedName>
    <definedName name="DIFF">master!$N$2:$N$3</definedName>
    <definedName name="DOCUMENT">master!$I$2:$I$13</definedName>
    <definedName name="EXP">master!$B$2:$B$3</definedName>
    <definedName name="INVTYPE">master!$H$2:$H$6</definedName>
    <definedName name="NATUREOFSUPPLY">master!$P$2:$P$3</definedName>
    <definedName name="POS">master!$O$2:$O$40</definedName>
    <definedName name="RATE">master!$F$2:$F$13</definedName>
    <definedName name="RCHARGE">master!$C$2:$C$3</definedName>
    <definedName name="TYPE">master!$E$2:$E$3</definedName>
    <definedName name="UQC">master!$A$2:$A$46</definedName>
    <definedName name="URTYPE">master!$J$2:$J$4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  <c r="G3" i="14"/>
  <c r="F3" i="14"/>
  <c r="E3" i="14"/>
  <c r="D3" i="14"/>
  <c r="B3" i="14" a="1"/>
  <c r="B3" i="14" s="1"/>
  <c r="E3" i="13"/>
  <c r="D3" i="13"/>
  <c r="K3" i="11"/>
  <c r="J3" i="11"/>
  <c r="I3" i="11"/>
  <c r="H3" i="11"/>
  <c r="G3" i="11"/>
  <c r="E3" i="11"/>
  <c r="A3" i="11"/>
  <c r="D3" i="10"/>
  <c r="C3" i="10"/>
  <c r="B3" i="10"/>
  <c r="E3" i="9"/>
  <c r="D3" i="9"/>
  <c r="E3" i="8"/>
  <c r="D3" i="8"/>
  <c r="J3" i="7"/>
  <c r="F3" i="7"/>
  <c r="D3" i="7"/>
  <c r="B3" i="7"/>
  <c r="J3" i="6"/>
  <c r="I3" i="6"/>
  <c r="F3" i="6"/>
  <c r="B3" i="6"/>
  <c r="M3" i="5"/>
  <c r="L3" i="5"/>
  <c r="I3" i="5"/>
  <c r="C3" i="5" a="1"/>
  <c r="C3" i="5" s="1"/>
  <c r="A3" i="5" a="1"/>
  <c r="A3" i="5" s="1"/>
  <c r="E3" i="4"/>
  <c r="F3" i="4"/>
  <c r="H3" i="3"/>
  <c r="G3" i="3"/>
  <c r="C3" i="3"/>
  <c r="A3" i="3"/>
  <c r="M3" i="1"/>
  <c r="L3" i="1"/>
  <c r="E3" i="1"/>
  <c r="C3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<sst xmlns="http://schemas.openxmlformats.org/spreadsheetml/2006/main" count="350" uniqueCount="234">
  <si>
    <t>Summary For B2B, SEZ, DE (4A, 4B, 6B, 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</si>
  <si>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</si>
  <si>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</si>
  <si>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</si>
  <si>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</si>
  <si>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</si>
  <si>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</si>
  <si>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</si>
  <si>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</si>
  <si>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</si>
  <si>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</si>
  <si>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</si>
  <si>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</si>
  <si>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</si>
  <si>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</si>
  <si>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</si>
  <si>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</si>
  <si>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</si>
  <si>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</si>
  <si>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</si>
  <si>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</si>
  <si>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</si>
  <si>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</si>
  <si>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</si>
  <si>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</si>
  <si>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</si>
  <si>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</si>
  <si>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</si>
  <si>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</si>
  <si>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</si>
  <si>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</si>
  <si>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CDNUR(9B)</t>
  </si>
  <si>
    <t>No. of Notes/Vouchers</t>
  </si>
  <si>
    <t>UR Type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</si>
  <si>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</si>
  <si>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</si>
  <si>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</si>
  <si>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</si>
  <si>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</si>
  <si>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</si>
  <si>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 xml:space="preserve">Summary For Advance Received (11B) </t>
  </si>
  <si>
    <t>Total Advance Received</t>
  </si>
  <si>
    <t>Gross Advance Received</t>
  </si>
  <si>
    <t xml:space="preserve">Summary For Advance Adjusted (11B) </t>
  </si>
  <si>
    <t>Total Advance Adjusted</t>
  </si>
  <si>
    <t>Gross Advance Adjusted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</si>
  <si>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</si>
  <si>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</si>
  <si>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</si>
  <si>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</si>
  <si>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</si>
  <si>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</si>
  <si>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</si>
  <si>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</si>
  <si>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</si>
  <si>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</si>
  <si>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</si>
  <si>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</si>
  <si>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</si>
  <si>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</si>
  <si>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</si>
  <si>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</si>
  <si>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</si>
  <si>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</si>
  <si>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</si>
  <si>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</si>
  <si>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</si>
  <si>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</si>
  <si>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</si>
  <si>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</si>
  <si>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</si>
  <si>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</si>
  <si>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</si>
  <si>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</si>
  <si>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</si>
  <si>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</si>
  <si>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</si>
  <si>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</si>
  <si>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</si>
  <si>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</si>
  <si>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</si>
  <si>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</si>
  <si>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</si>
  <si>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</si>
  <si>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</si>
  <si>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</si>
  <si>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Reverse Charge/Provisional Assessment</t>
  </si>
  <si>
    <t>Tax Rate</t>
  </si>
  <si>
    <t>POS</t>
  </si>
  <si>
    <t>Nature  of Document</t>
  </si>
  <si>
    <t xml:space="preserve">Supply Type </t>
  </si>
  <si>
    <t>Month</t>
  </si>
  <si>
    <t>Financial Year</t>
  </si>
  <si>
    <t>Differential Percentage</t>
  </si>
  <si>
    <t>POS96</t>
  </si>
  <si>
    <t>BAG-BAGS</t>
  </si>
  <si>
    <t>WOPAY</t>
  </si>
  <si>
    <t>N</t>
  </si>
  <si>
    <t>C</t>
  </si>
  <si>
    <t>OE</t>
  </si>
  <si>
    <t>01-Jammu &amp; Kashmir</t>
  </si>
  <si>
    <t>Regular B2B</t>
  </si>
  <si>
    <t>Invoices for outward supply</t>
  </si>
  <si>
    <t>B2CL</t>
  </si>
  <si>
    <t>Inter State</t>
  </si>
  <si>
    <t>JANUARY</t>
  </si>
  <si>
    <t>2017-18</t>
  </si>
  <si>
    <t>Liable to collect tax u/s 52(TCS)</t>
  </si>
  <si>
    <t>BAL-BALE</t>
  </si>
  <si>
    <t>WPAY</t>
  </si>
  <si>
    <t>Y</t>
  </si>
  <si>
    <t>D</t>
  </si>
  <si>
    <t>E</t>
  </si>
  <si>
    <t>02-Himachal Pradesh</t>
  </si>
  <si>
    <t>SEZ supplies with payment</t>
  </si>
  <si>
    <t>Invoices for inward supply from unregistered person</t>
  </si>
  <si>
    <t>EXPWP</t>
  </si>
  <si>
    <t>Intra State</t>
  </si>
  <si>
    <t>FEBRUARY</t>
  </si>
  <si>
    <t>2018-19</t>
  </si>
  <si>
    <t>65.00</t>
  </si>
  <si>
    <t>Liable to pay tax u/s 9(5)</t>
  </si>
  <si>
    <t>BDL-BUNDLES</t>
  </si>
  <si>
    <t>03-Punjab</t>
  </si>
  <si>
    <t>SEZ supplies without payment</t>
  </si>
  <si>
    <t>Revised Invoice</t>
  </si>
  <si>
    <t>EXPWOP</t>
  </si>
  <si>
    <t>MARCH</t>
  </si>
  <si>
    <t>2019-20</t>
  </si>
  <si>
    <t>BKL-BUCKLES</t>
  </si>
  <si>
    <t>04-Chandigarh</t>
  </si>
  <si>
    <t>Deemed Exp</t>
  </si>
  <si>
    <t>Debit Note</t>
  </si>
  <si>
    <t>APRIL</t>
  </si>
  <si>
    <t>2020-21</t>
  </si>
  <si>
    <t>BOU-BILLION OF UNITS</t>
  </si>
  <si>
    <t>05-Uttarakhand</t>
  </si>
  <si>
    <t>Intra-State supplies attracting IGST</t>
  </si>
  <si>
    <t>Credit Note</t>
  </si>
  <si>
    <t>MAY</t>
  </si>
  <si>
    <t>2021-22</t>
  </si>
  <si>
    <t>BOX-BOX</t>
  </si>
  <si>
    <t>06-Haryana</t>
  </si>
  <si>
    <t>Regular</t>
  </si>
  <si>
    <t>Receipt Voucher</t>
  </si>
  <si>
    <t>JUNE</t>
  </si>
  <si>
    <t>2022-23</t>
  </si>
  <si>
    <t>BTL-BOTTLES</t>
  </si>
  <si>
    <t>07-Delhi</t>
  </si>
  <si>
    <t>Payment Voucher</t>
  </si>
  <si>
    <t>JULY</t>
  </si>
  <si>
    <t>2023-24</t>
  </si>
  <si>
    <t>BUN-BUNCHES</t>
  </si>
  <si>
    <t>08-Rajasthan</t>
  </si>
  <si>
    <t>Refund Voucher</t>
  </si>
  <si>
    <t>AUGUST</t>
  </si>
  <si>
    <t>2024-25</t>
  </si>
  <si>
    <t>CAN-CANS</t>
  </si>
  <si>
    <t>09-Uttar Pradesh</t>
  </si>
  <si>
    <t>Delivery Challan for job work</t>
  </si>
  <si>
    <t>SEPTEMBER</t>
  </si>
  <si>
    <t>CBM-CUBIC METERS</t>
  </si>
  <si>
    <t>10-Bihar</t>
  </si>
  <si>
    <t>Delivery Challan for supply on approval</t>
  </si>
  <si>
    <t>OCTOBER</t>
  </si>
  <si>
    <t>CCM-CUBIC CENTIMETERS</t>
  </si>
  <si>
    <t>11-Sikkim</t>
  </si>
  <si>
    <t>Delivery Challan in case of liquid gas</t>
  </si>
  <si>
    <t>NOVEMBER</t>
  </si>
  <si>
    <t>CMS-CENTIMETERS</t>
  </si>
  <si>
    <t>12-Arunachal Pradesh</t>
  </si>
  <si>
    <t>Delivery Challan in case other than by way of supply (excluding at S no. 9 to 11)</t>
  </si>
  <si>
    <t>DECEMBER</t>
  </si>
  <si>
    <t>CTN-CARTONS</t>
  </si>
  <si>
    <t>13-Nagaland</t>
  </si>
  <si>
    <t>DOZ-DOZENS</t>
  </si>
  <si>
    <t>14-Manipur</t>
  </si>
  <si>
    <t>DRM-DRUMS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</si>
  <si>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</si>
  <si>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</si>
  <si>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</si>
  <si>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</si>
  <si>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</si>
  <si>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</si>
  <si>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</si>
  <si>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</si>
  <si>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</si>
  <si>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</si>
  <si>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</si>
  <si>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</si>
  <si>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</si>
  <si>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</si>
  <si>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</si>
  <si>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LTR-LITRES</t>
  </si>
  <si>
    <t>23-Madhya Pradesh</t>
  </si>
  <si>
    <t>MLT-MILILITRE</t>
  </si>
  <si>
    <t>24-Gujarat</t>
  </si>
  <si>
    <t>MTR-METERS</t>
  </si>
  <si>
    <t>25-Daman &amp; Diu</t>
  </si>
  <si>
    <t>MTS-METRIC TON</t>
  </si>
  <si>
    <t>26-Dadra &amp; Nagar Haveli &amp; Daman &amp; Diu</t>
  </si>
  <si>
    <t xml:space="preserve">26-Dadra &amp; Nagar Haveli &amp; Daman &amp; Diu </t>
  </si>
  <si>
    <t>NOS-NUMBERS</t>
  </si>
  <si>
    <t>27-Maharashtra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</si>
  <si>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</si>
  <si>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</si>
  <si>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</si>
  <si>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</si>
  <si>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</si>
  <si>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</si>
  <si>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</si>
  <si>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32-Kerala</t>
  </si>
  <si>
    <t>ROL-ROLLS</t>
  </si>
  <si>
    <t>33-Tamil Nadu</t>
  </si>
  <si>
    <t>SET-SETS</t>
  </si>
  <si>
    <t>34-Puducherry</t>
  </si>
  <si>
    <t>SQF-SQUARE FEET</t>
  </si>
  <si>
    <t>35-Andaman &amp; Nicobar Islands</t>
  </si>
  <si>
    <t>SQM-SQUARE METERS</t>
  </si>
  <si>
    <t>36-Telangana</t>
  </si>
  <si>
    <t>SQY-SQUARE YARDS</t>
  </si>
  <si>
    <t>37-Andhra Pradesh</t>
  </si>
  <si>
    <t>TBS-TABLETS</t>
  </si>
  <si>
    <t>38-Ladakh</t>
  </si>
  <si>
    <t>TGM-TEN GROSS</t>
  </si>
  <si>
    <t>97-Other Territory</t>
  </si>
  <si>
    <t>96-Foreign Country</t>
  </si>
  <si>
    <t>THD-THOUSANDS</t>
  </si>
  <si>
    <t>TON-TONNES</t>
  </si>
  <si>
    <t>TUB-TUBES</t>
  </si>
  <si>
    <t>UGS-US GALLONS</t>
  </si>
  <si>
    <t>UNT-UNITS</t>
  </si>
  <si>
    <t>YDS-YARDS</t>
  </si>
  <si>
    <t>OTH-OTHERS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</si>
</sst>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A0101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0">
    <xf numFmtId="0" fontId="0" fillId="0" borderId="0" xfId="0"/>
    <xf numFmtId="0" fontId="2" fillId="2" borderId="1" xfId="0" applyFont="1" applyFill="1" applyBorder="1" applyAlignment="1" applyProtection="1">
      <alignment horizontal="left" vertical="top"/>
      <protection hidden="1"/>
    </xf>
    <xf numFmtId="0" fontId="2" fillId="2" borderId="0" xfId="0" applyFont="1" applyFill="1" applyAlignment="1" applyProtection="1">
      <alignment horizontal="center" vertical="top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0" fontId="1" fillId="0" borderId="1" xfId="1" applyFill="1" applyBorder="1" applyAlignment="1" applyProtection="1">
      <alignment horizontal="center" vertical="top" wrapText="1"/>
      <protection hidden="1"/>
    </xf>
    <xf numFmtId="0" fontId="3" fillId="0" borderId="0" xfId="0" applyFont="1" applyProtection="1">
      <protection locked="0"/>
    </xf>
    <xf numFmtId="0" fontId="2" fillId="2" borderId="2" xfId="0" applyFont="1" applyFill="1" applyBorder="1" applyAlignment="1" applyProtection="1">
      <alignment horizontal="center"/>
      <protection hidden="1"/>
    </xf>
    <xf numFmtId="2" fontId="2" fillId="2" borderId="2" xfId="0" applyNumberFormat="1" applyFont="1" applyFill="1" applyBorder="1" applyAlignment="1" applyProtection="1">
      <alignment horizontal="right"/>
      <protection hidden="1"/>
    </xf>
    <xf numFmtId="0" fontId="2" fillId="2" borderId="2" xfId="0" applyFont="1" applyFill="1" applyBorder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center"/>
      <protection hidden="1"/>
    </xf>
    <xf numFmtId="2" fontId="5" fillId="0" borderId="2" xfId="0" applyNumberFormat="1" applyFont="1" applyBorder="1" applyProtection="1">
      <protection hidden="1"/>
    </xf>
    <xf numFmtId="0" fontId="3" fillId="0" borderId="2" xfId="0" applyFont="1" applyBorder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right"/>
      <protection hidden="1"/>
    </xf>
    <xf numFmtId="2" fontId="3" fillId="0" borderId="2" xfId="0" applyNumberFormat="1" applyFont="1" applyBorder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 wrapText="1"/>
      <protection hidden="1"/>
    </xf>
    <xf numFmtId="0" fontId="3" fillId="0" borderId="0" xfId="0" applyFont="1" applyAlignment="1" applyProtection="1">
      <alignment horizontal="left"/>
      <protection locked="0"/>
    </xf>
    <xf numFmtId="15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left" wrapText="1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vertical="top"/>
      <protection hidden="1"/>
    </xf>
    <xf numFmtId="0" fontId="1" fillId="4" borderId="1" xfId="1" applyFill="1" applyBorder="1" applyAlignment="1" applyProtection="1">
      <alignment horizontal="center"/>
      <protection hidden="1"/>
    </xf>
    <xf numFmtId="2" fontId="3" fillId="0" borderId="0" xfId="0" applyNumberFormat="1" applyFont="1" applyProtection="1">
      <protection hidden="1"/>
    </xf>
    <xf numFmtId="2" fontId="3" fillId="0" borderId="0" xfId="0" applyNumberFormat="1" applyFont="1" applyAlignment="1" applyProtection="1">
      <alignment horizontal="right"/>
      <protection hidden="1"/>
    </xf>
    <xf numFmtId="2" fontId="3" fillId="0" borderId="0" xfId="0" applyNumberFormat="1" applyFont="1" applyAlignment="1" applyProtection="1">
      <alignment horizontal="right" wrapText="1"/>
      <protection hidden="1"/>
    </xf>
    <xf numFmtId="2" fontId="2" fillId="2" borderId="2" xfId="0" applyNumberFormat="1" applyFont="1" applyFill="1" applyBorder="1" applyAlignment="1" applyProtection="1">
      <alignment horizontal="center"/>
      <protection hidden="1"/>
    </xf>
    <xf numFmtId="2" fontId="2" fillId="2" borderId="2" xfId="0" applyNumberFormat="1" applyFont="1" applyFill="1" applyBorder="1" applyAlignment="1" applyProtection="1">
      <alignment horizontal="right" wrapText="1"/>
      <protection hidden="1"/>
    </xf>
    <xf numFmtId="0" fontId="3" fillId="0" borderId="2" xfId="0" applyFont="1" applyBorder="1" applyProtection="1">
      <protection hidden="1"/>
    </xf>
    <xf numFmtId="2" fontId="3" fillId="0" borderId="2" xfId="0" applyNumberFormat="1" applyFont="1" applyBorder="1" applyAlignment="1" applyProtection="1">
      <alignment horizontal="right" wrapText="1"/>
      <protection hidden="1"/>
    </xf>
    <xf numFmtId="0" fontId="2" fillId="2" borderId="3" xfId="0" applyFont="1" applyFill="1" applyBorder="1" applyAlignment="1" applyProtection="1">
      <alignment horizontal="center" vertical="top"/>
      <protection hidden="1"/>
    </xf>
    <xf numFmtId="0" fontId="1" fillId="4" borderId="2" xfId="1" applyFill="1" applyBorder="1" applyAlignment="1" applyProtection="1">
      <alignment horizontal="center"/>
      <protection hidden="1"/>
    </xf>
    <xf numFmtId="2" fontId="3" fillId="0" borderId="2" xfId="0" applyNumberFormat="1" applyFont="1" applyBorder="1" applyAlignment="1" applyProtection="1">
      <alignment horizontal="right" vertical="top"/>
      <protection hidden="1"/>
    </xf>
    <xf numFmtId="0" fontId="2" fillId="2" borderId="2" xfId="0" applyFont="1" applyFill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2" fontId="5" fillId="0" borderId="2" xfId="0" applyNumberFormat="1" applyFont="1" applyBorder="1" applyAlignment="1" applyProtection="1">
      <alignment horizontal="right"/>
      <protection hidden="1"/>
    </xf>
    <xf numFmtId="0" fontId="3" fillId="5" borderId="0" xfId="0" applyFont="1" applyFill="1" applyAlignment="1" applyProtection="1">
      <alignment horizontal="center"/>
      <protection hidden="1"/>
    </xf>
    <xf numFmtId="2" fontId="3" fillId="5" borderId="0" xfId="0" applyNumberFormat="1" applyFont="1" applyFill="1" applyAlignment="1" applyProtection="1">
      <alignment horizontal="center"/>
      <protection hidden="1"/>
    </xf>
    <xf numFmtId="2" fontId="3" fillId="0" borderId="2" xfId="0" applyNumberFormat="1" applyFont="1" applyBorder="1" applyProtection="1">
      <protection hidden="1"/>
    </xf>
    <xf numFmtId="2" fontId="3" fillId="5" borderId="0" xfId="0" applyNumberFormat="1" applyFont="1" applyFill="1" applyAlignment="1" applyProtection="1">
      <alignment horizontal="right"/>
      <protection hidden="1"/>
    </xf>
    <xf numFmtId="0" fontId="6" fillId="5" borderId="0" xfId="0" applyFont="1" applyFill="1" applyAlignment="1" applyProtection="1">
      <alignment horizontal="left"/>
      <protection hidden="1"/>
    </xf>
    <xf numFmtId="2" fontId="6" fillId="5" borderId="0" xfId="0" applyNumberFormat="1" applyFont="1" applyFill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center" vertical="top" wrapText="1"/>
      <protection hidden="1"/>
    </xf>
    <xf numFmtId="2" fontId="6" fillId="3" borderId="0" xfId="0" applyNumberFormat="1" applyFont="1" applyFill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center" vertical="top"/>
      <protection hidden="1"/>
    </xf>
    <xf numFmtId="2" fontId="6" fillId="3" borderId="0" xfId="0" applyNumberFormat="1" applyFont="1" applyFill="1" applyAlignment="1" applyProtection="1">
      <alignment horizontal="right" vertical="top"/>
      <protection hidden="1"/>
    </xf>
    <xf numFmtId="2" fontId="6" fillId="3" borderId="0" xfId="0" applyNumberFormat="1" applyFont="1" applyFill="1" applyAlignment="1" applyProtection="1">
      <alignment horizontal="right" wrapText="1"/>
      <protection hidden="1"/>
    </xf>
    <xf numFmtId="2" fontId="6" fillId="3" borderId="0" xfId="0" applyNumberFormat="1" applyFont="1" applyFill="1" applyAlignment="1" applyProtection="1">
      <alignment horizontal="right" vertical="top" wrapText="1"/>
      <protection hidden="1"/>
    </xf>
    <xf numFmtId="49" fontId="2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/>
    <xf numFmtId="2" fontId="1" fillId="0" borderId="1" xfId="1" applyNumberFormat="1" applyFill="1" applyBorder="1" applyAlignment="1" applyProtection="1">
      <alignment horizontal="center" vertical="top" wrapText="1"/>
    </xf>
    <xf numFmtId="49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49" fontId="3" fillId="0" borderId="7" xfId="0" applyNumberFormat="1" applyFont="1" applyBorder="1" applyAlignment="1" applyProtection="1">
      <alignment horizontal="center"/>
      <protection hidden="1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2" fontId="3" fillId="0" borderId="8" xfId="0" applyNumberFormat="1" applyFont="1" applyBorder="1" applyAlignment="1" applyProtection="1">
      <alignment horizontal="right"/>
      <protection hidden="1"/>
    </xf>
    <xf numFmtId="2" fontId="3" fillId="0" borderId="9" xfId="0" applyNumberFormat="1" applyFont="1" applyBorder="1" applyAlignment="1" applyProtection="1">
      <alignment horizontal="right"/>
      <protection hidden="1"/>
    </xf>
    <xf numFmtId="49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right"/>
    </xf>
    <xf numFmtId="0" fontId="2" fillId="2" borderId="1" xfId="0" applyFont="1" applyFill="1" applyBorder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2" borderId="2" xfId="0" applyFont="1" applyFill="1" applyBorder="1" applyProtection="1">
      <protection hidden="1"/>
    </xf>
    <xf numFmtId="164" fontId="3" fillId="0" borderId="2" xfId="0" applyNumberFormat="1" applyFont="1" applyBorder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left" vertical="top"/>
      <protection hidden="1"/>
    </xf>
    <xf numFmtId="0" fontId="6" fillId="3" borderId="0" xfId="0" applyFont="1" applyFill="1" applyAlignment="1" applyProtection="1">
      <alignment vertical="top"/>
      <protection hidden="1"/>
    </xf>
    <xf numFmtId="2" fontId="3" fillId="5" borderId="0" xfId="0" applyNumberFormat="1" applyFont="1" applyFill="1" applyAlignment="1" applyProtection="1">
      <alignment horizontal="right" vertical="top"/>
      <protection hidden="1"/>
    </xf>
    <xf numFmtId="0" fontId="7" fillId="2" borderId="1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" fillId="0" borderId="1" xfId="1" applyFill="1" applyBorder="1" applyAlignment="1" applyProtection="1">
      <alignment horizontal="center" vertical="center" wrapText="1"/>
      <protection hidden="1"/>
    </xf>
    <xf numFmtId="0" fontId="7" fillId="2" borderId="2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 applyProtection="1">
      <alignment vertical="center"/>
      <protection locked="0"/>
    </xf>
    <xf numFmtId="0" fontId="10" fillId="3" borderId="11" xfId="0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2" fontId="3" fillId="0" borderId="0" xfId="0" applyNumberFormat="1" applyFont="1" applyAlignment="1" applyProtection="1">
      <alignment horizontal="right" wrapText="1"/>
      <protection locked="0"/>
    </xf>
    <xf numFmtId="0" fontId="0" fillId="0" borderId="0" xfId="0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locked="0"/>
    </xf>
    <xf numFmtId="15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  <xf numFmtId="0" fontId="4" fillId="6" borderId="1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11" fillId="0" borderId="2" xfId="0" applyFont="1" applyBorder="1" applyAlignment="1">
      <alignment horizontal="left" vertical="top"/>
    </xf>
    <xf numFmtId="49" fontId="3" fillId="0" borderId="2" xfId="0" applyNumberFormat="1" applyFont="1" applyBorder="1"/>
    <xf numFmtId="0" fontId="3" fillId="0" borderId="1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3" xfId="0" applyFont="1" applyBorder="1"/>
    <xf numFmtId="0" fontId="3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3110-101B-4A6B-A90F-6B8A4ED7C9D0}">
  <dimension ref="A1:M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.7109375" style="19" bestFit="1" customWidth="1"/>
    <col min="2" max="2" width="22.7109375" style="19" customWidth="1"/>
    <col min="3" max="3" width="17.85546875" style="19" bestFit="1" customWidth="1"/>
    <col min="4" max="4" width="11.28515625" style="20" bestFit="1" customWidth="1"/>
    <col min="5" max="5" width="19.5703125" style="21" bestFit="1" customWidth="1"/>
    <col min="6" max="6" width="20" style="21" bestFit="1" customWidth="1"/>
    <col min="7" max="7" width="14.85546875" style="23" bestFit="1" customWidth="1"/>
    <col min="8" max="8" width="14.85546875" style="24" customWidth="1"/>
    <col min="9" max="9" width="13.42578125" style="25" customWidth="1"/>
    <col min="10" max="10" width="19.28515625" style="19" bestFit="1" customWidth="1"/>
    <col min="11" max="11" width="7.42578125" style="26" customWidth="1"/>
    <col min="12" max="12" width="27.42578125" style="26" bestFit="1" customWidth="1"/>
    <col min="13" max="13" width="22.140625" style="26" bestFit="1" customWidth="1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/>
    </row>
    <row r="2" spans="1:13">
      <c r="A2" s="9" t="s">
        <v>1</v>
      </c>
      <c r="B2" s="9"/>
      <c r="C2" s="9" t="s">
        <v>2</v>
      </c>
      <c r="D2" s="9"/>
      <c r="E2" s="10" t="s">
        <v>3</v>
      </c>
      <c r="F2" s="11"/>
      <c r="G2" s="9"/>
      <c r="H2" s="9"/>
      <c r="I2" s="11"/>
      <c r="J2" s="9"/>
      <c r="K2" s="10"/>
      <c r="L2" s="10" t="s">
        <v>4</v>
      </c>
      <c r="M2" s="10" t="s">
        <v>5</v>
      </c>
    </row>
    <row r="3" spans="1:13">
      <c r="A3" s="12">
        <f ca="1">SUMPRODUCT((A5:A20004&lt;&gt;"")/COUNTIF(A5:A20004,A5:A20004&amp;""))</f>
        <v>0</v>
      </c>
      <c r="B3" s="12"/>
      <c r="C3" s="12">
        <f ca="1">SUMPRODUCT((C5:C20004&lt;&gt;"")/COUNTIF(C5:C20004,C5:C20004&amp;""))</f>
        <v>0</v>
      </c>
      <c r="D3" s="12"/>
      <c r="E3" s="13">
        <f ca="1">SUM(E5:E1048576)</f>
        <v>0</v>
      </c>
      <c r="F3" s="14"/>
      <c r="G3" s="12"/>
      <c r="H3" s="12"/>
      <c r="I3" s="14"/>
      <c r="J3" s="15"/>
      <c r="K3" s="16"/>
      <c r="L3" s="16">
        <f ca="1">SUM(L5:L1048576)</f>
        <v>0</v>
      </c>
      <c r="M3" s="16">
        <f ca="1">SUM(M5:M1048576)</f>
        <v>0</v>
      </c>
    </row>
    <row r="4" spans="1:13" ht="30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8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</row>
    <row r="5" spans="1:13">
      <c r="F5" s="22"/>
    </row>
  </sheetData>
  <dataValidations count="7">
    <dataValidation type="decimal" operator="greaterThanOrEqual" allowBlank="1" showInputMessage="1" showErrorMessage="1" error="Negative value not allowed. Please enter positive value." sqref="L5:M1048576 E5:E1048576" xr:uid="{2A1457C6-7B6D-4920-82DE-94D7DB82A96C}">
      <formula1>0</formula1>
    </dataValidation>
    <dataValidation type="textLength" allowBlank="1" showInputMessage="1" showErrorMessage="1" error="Invoice number should not exceed 16 characters." sqref="C5:C1048576" xr:uid="{98E388DF-13B2-4F32-8F33-964645B23EC7}">
      <formula1>1</formula1>
      <formula2>16</formula2>
    </dataValidation>
    <dataValidation type="textLength" operator="equal" allowBlank="1" showInputMessage="1" showErrorMessage="1" error="GSTIN should be 15 characters. Please Enter valid GSTIN." sqref="A5:A1048576 J5:J1048576" xr:uid="{D87D5135-EF3D-4486-8DED-45A45902DCB4}">
      <formula1>15</formula1>
    </dataValidation>
    <dataValidation type="list" allowBlank="1" showInputMessage="1" showErrorMessage="1" sqref="G5:G1048576" xr:uid="{AA4D0628-72A2-47AF-9DEA-8142E84BD4A3}">
      <formula1>"N,Y"</formula1>
    </dataValidation>
    <dataValidation type="list" allowBlank="1" showInputMessage="1" showErrorMessage="1" sqref="F5:F1048576" xr:uid="{B4DFF7CC-2711-4FBD-B96B-C84394131212}">
      <formula1>POS</formula1>
    </dataValidation>
    <dataValidation type="list" allowBlank="1" showInputMessage="1" showErrorMessage="1" sqref="H5:H1048576" xr:uid="{CC4A6CB3-4670-4EBA-851F-FC7AE9150995}">
      <formula1>DIFF</formula1>
    </dataValidation>
    <dataValidation type="list" allowBlank="1" showInputMessage="1" showErrorMessage="1" sqref="I5:I1048576" xr:uid="{A08FA292-14C4-43E2-9ECA-1E6BB0E9AC42}">
      <formula1>INVTYPE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DC3E-8674-437C-89EC-BCEF9930DF6F}">
  <dimension ref="A1:I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.7109375" style="21" bestFit="1" customWidth="1"/>
    <col min="2" max="2" width="11.28515625" style="20" bestFit="1" customWidth="1"/>
    <col min="3" max="3" width="19.5703125" style="21" customWidth="1"/>
    <col min="4" max="4" width="19.42578125" style="22" bestFit="1" customWidth="1"/>
    <col min="5" max="5" width="14.85546875" style="24" customWidth="1"/>
    <col min="6" max="6" width="5.7109375" style="26" bestFit="1" customWidth="1"/>
    <col min="7" max="7" width="20" style="21" bestFit="1" customWidth="1"/>
    <col min="8" max="8" width="12.42578125" style="91" bestFit="1" customWidth="1"/>
    <col min="9" max="9" width="19.28515625" style="19" bestFit="1" customWidth="1"/>
  </cols>
  <sheetData>
    <row r="1" spans="1:9">
      <c r="A1" s="27" t="s">
        <v>19</v>
      </c>
      <c r="B1" s="28"/>
      <c r="C1" s="29"/>
      <c r="D1" s="3"/>
      <c r="E1" s="4"/>
      <c r="F1" s="30"/>
      <c r="G1" s="29"/>
      <c r="H1" s="31"/>
      <c r="I1" s="7"/>
    </row>
    <row r="2" spans="1:9">
      <c r="A2" s="9" t="s">
        <v>2</v>
      </c>
      <c r="B2" s="9"/>
      <c r="C2" s="32"/>
      <c r="D2" s="9"/>
      <c r="E2" s="9"/>
      <c r="F2" s="10"/>
      <c r="G2" s="32"/>
      <c r="H2" s="33"/>
      <c r="I2" s="11"/>
    </row>
    <row r="3" spans="1:9">
      <c r="A3" s="12">
        <f ca="1">SUMPRODUCT((A5:A20004&lt;&gt;"")/COUNTIF(A5:A20004,A5:A20004&amp;""))</f>
        <v>0</v>
      </c>
      <c r="B3" s="12"/>
      <c r="C3" s="13">
        <f ca="1">SUMPRODUCT(1/COUNTIF(A5:A20004,A5:A20004&amp;""),C5:C20004)</f>
        <v>0</v>
      </c>
      <c r="D3" s="34"/>
      <c r="E3" s="12"/>
      <c r="F3" s="16"/>
      <c r="G3" s="16">
        <f ca="1">SUM(G5:G1048576)</f>
        <v>0</v>
      </c>
      <c r="H3" s="35">
        <f ca="1">SUM(H5:H1048576)</f>
        <v>0</v>
      </c>
      <c r="I3" s="14"/>
    </row>
    <row r="4" spans="1:9" ht="30">
      <c r="A4" s="17" t="s">
        <v>8</v>
      </c>
      <c r="B4" s="17" t="s">
        <v>9</v>
      </c>
      <c r="C4" s="17" t="s">
        <v>10</v>
      </c>
      <c r="D4" s="17" t="s">
        <v>11</v>
      </c>
      <c r="E4" s="18" t="s">
        <v>13</v>
      </c>
      <c r="F4" s="17" t="s">
        <v>16</v>
      </c>
      <c r="G4" s="17" t="s">
        <v>17</v>
      </c>
      <c r="H4" s="17" t="s">
        <v>18</v>
      </c>
      <c r="I4" s="17" t="s">
        <v>15</v>
      </c>
    </row>
  </sheetData>
  <protectedRanges>
    <protectedRange sqref="A2:I3 A1:H1" name="Summary_2_1"/>
    <protectedRange sqref="I1" name="Summary_1_1_1"/>
  </protectedRanges>
  <dataValidations count="7">
    <dataValidation type="decimal" operator="greaterThan" allowBlank="1" showInputMessage="1" showErrorMessage="1" sqref="C5:C1048576" xr:uid="{A7114F50-48BB-46C6-9470-7DE06EF2EB45}">
      <formula1>100000</formula1>
    </dataValidation>
    <dataValidation type="textLength" allowBlank="1" showInputMessage="1" showErrorMessage="1" sqref="A5:A1048576" xr:uid="{BC47A7DC-B149-481A-B4FF-24CBF5B79661}">
      <formula1>1</formula1>
      <formula2>16</formula2>
    </dataValidation>
    <dataValidation type="list" allowBlank="1" showInputMessage="1" showErrorMessage="1" sqref="D5:D1048576" xr:uid="{D0C41A33-3CA4-40B4-8D48-A1EC5386B541}">
      <formula1>POS</formula1>
    </dataValidation>
    <dataValidation type="list" allowBlank="1" showInputMessage="1" showErrorMessage="1" sqref="E5:E1048576" xr:uid="{392CFE0C-FF12-41EA-8C39-60738F7845D8}">
      <formula1>DIFF</formula1>
    </dataValidation>
    <dataValidation type="list" allowBlank="1" showInputMessage="1" showErrorMessage="1" sqref="F5:F1048576" xr:uid="{CFFCA135-31FC-4E44-9CEF-6D3FD01425EA}">
      <formula1>RATE</formula1>
    </dataValidation>
    <dataValidation type="decimal" operator="greaterThanOrEqual" allowBlank="1" showInputMessage="1" showErrorMessage="1" sqref="G5:H1048576" xr:uid="{D5D4856D-6D30-4ED8-851A-496F37C27371}">
      <formula1>0</formula1>
    </dataValidation>
    <dataValidation type="textLength" operator="equal" allowBlank="1" showInputMessage="1" showErrorMessage="1" sqref="I5:I1048576" xr:uid="{7B00D165-AB95-466A-8733-B3C4EC65339C}">
      <formula1>15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3FF-EC09-490C-9D0E-1B61E2F4FB20}">
  <dimension ref="A1:G4"/>
  <sheetViews>
    <sheetView workbookViewId="0">
      <pane ySplit="4" topLeftCell="A21" activePane="bottomLeft" state="frozen"/>
      <selection pane="bottomLeft" activeCell="E5" sqref="E5"/>
    </sheetView>
  </sheetViews>
  <sheetFormatPr defaultRowHeight="15"/>
  <cols>
    <col min="1" max="1" width="22.42578125" style="97" bestFit="1" customWidth="1"/>
    <col min="2" max="2" width="19.42578125" style="22" bestFit="1" customWidth="1"/>
    <col min="3" max="3" width="14.85546875" style="24" customWidth="1"/>
    <col min="4" max="4" width="5.5703125" style="26" bestFit="1" customWidth="1"/>
    <col min="5" max="5" width="20.5703125" style="26" bestFit="1" customWidth="1"/>
    <col min="6" max="6" width="12.42578125" style="26" bestFit="1" customWidth="1"/>
    <col min="7" max="7" width="19.28515625" style="19" bestFit="1" customWidth="1"/>
  </cols>
  <sheetData>
    <row r="1" spans="1:7">
      <c r="A1" s="36" t="s">
        <v>20</v>
      </c>
      <c r="B1" s="37"/>
      <c r="C1" s="4"/>
      <c r="D1" s="38"/>
      <c r="E1" s="16"/>
      <c r="F1" s="16"/>
      <c r="G1" s="7"/>
    </row>
    <row r="2" spans="1:7">
      <c r="A2" s="39"/>
      <c r="B2" s="9"/>
      <c r="C2" s="9"/>
      <c r="D2" s="10"/>
      <c r="E2" s="10" t="s">
        <v>21</v>
      </c>
      <c r="F2" s="10" t="s">
        <v>5</v>
      </c>
      <c r="G2" s="39"/>
    </row>
    <row r="3" spans="1:7">
      <c r="A3" s="34"/>
      <c r="B3" s="34"/>
      <c r="C3" s="12"/>
      <c r="D3" s="16"/>
      <c r="E3" s="16">
        <f ca="1">SUM(E5:E1048576)</f>
        <v>0</v>
      </c>
      <c r="F3" s="16">
        <f ca="1">SUM(F5:F1048576)</f>
        <v>0</v>
      </c>
      <c r="G3" s="34"/>
    </row>
    <row r="4" spans="1:7" ht="30">
      <c r="A4" s="17" t="s">
        <v>22</v>
      </c>
      <c r="B4" s="17" t="s">
        <v>11</v>
      </c>
      <c r="C4" s="18" t="s">
        <v>13</v>
      </c>
      <c r="D4" s="17" t="s">
        <v>16</v>
      </c>
      <c r="E4" s="17" t="s">
        <v>17</v>
      </c>
      <c r="F4" s="17" t="s">
        <v>18</v>
      </c>
      <c r="G4" s="17" t="s">
        <v>15</v>
      </c>
    </row>
  </sheetData>
  <protectedRanges>
    <protectedRange sqref="B1:C3" name="Summary_1_1"/>
  </protectedRanges>
  <dataValidations count="7">
    <dataValidation type="list" allowBlank="1" showInputMessage="1" showErrorMessage="1" sqref="A5:A1048576" xr:uid="{9CE0F081-A0D6-40C6-B839-F393CF7E0050}">
      <formula1>TYPE</formula1>
    </dataValidation>
    <dataValidation type="list" allowBlank="1" showInputMessage="1" showErrorMessage="1" sqref="B5:B1048576" xr:uid="{CA5CEB20-3734-489F-AC02-CA84FFF8C1EC}">
      <formula1>POS</formula1>
    </dataValidation>
    <dataValidation type="list" allowBlank="1" showInputMessage="1" showErrorMessage="1" sqref="C5:C1048576" xr:uid="{07335001-B842-4301-9B46-45E95297437A}">
      <formula1>DIFF</formula1>
    </dataValidation>
    <dataValidation type="list" allowBlank="1" showInputMessage="1" showErrorMessage="1" sqref="D5:D1048576" xr:uid="{B9337619-7D41-4B49-9468-EE9E35E61650}">
      <formula1>RATE</formula1>
    </dataValidation>
    <dataValidation type="decimal" operator="greaterThan" allowBlank="1" showInputMessage="1" showErrorMessage="1" sqref="F6:F1048576 E6:E1048576" xr:uid="{5E505D2B-D347-43D5-BE07-0DB78E43D077}">
      <formula1>0</formula1>
    </dataValidation>
    <dataValidation type="textLength" operator="equal" allowBlank="1" showInputMessage="1" showErrorMessage="1" sqref="G5:G1048576" xr:uid="{1C49048F-7187-4BD8-9294-B8212EDB9A96}">
      <formula1>15</formula1>
    </dataValidation>
    <dataValidation type="decimal" operator="greaterThanOrEqual" allowBlank="1" showInputMessage="1" showErrorMessage="1" sqref="F5 E5" xr:uid="{6975229A-0FD4-406B-82B8-889AF4C11A1D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7F1-2D7A-4F9E-8AA7-B08C7F5E7B1B}">
  <dimension ref="A1:M4"/>
  <sheetViews>
    <sheetView workbookViewId="0">
      <pane ySplit="4" topLeftCell="A5" activePane="bottomLeft" state="frozen"/>
      <selection pane="bottomLeft" activeCell="L29" sqref="L29"/>
    </sheetView>
  </sheetViews>
  <sheetFormatPr defaultRowHeight="15"/>
  <cols>
    <col min="1" max="1" width="24.85546875" style="19" bestFit="1" customWidth="1"/>
    <col min="2" max="2" width="24.85546875" style="56" customWidth="1"/>
    <col min="3" max="3" width="27.7109375" style="56" bestFit="1" customWidth="1"/>
    <col min="4" max="4" width="24.85546875" style="20" bestFit="1" customWidth="1"/>
    <col min="5" max="5" width="14.7109375" style="92" bestFit="1" customWidth="1"/>
    <col min="6" max="6" width="19.42578125" style="22" bestFit="1" customWidth="1"/>
    <col min="7" max="7" width="14.85546875" style="23" bestFit="1" customWidth="1"/>
    <col min="8" max="8" width="26.7109375" style="56" customWidth="1"/>
    <col min="9" max="9" width="20.85546875" style="21" customWidth="1"/>
    <col min="10" max="10" width="14.85546875" style="90" customWidth="1"/>
    <col min="11" max="11" width="6.28515625" style="26" bestFit="1" customWidth="1"/>
    <col min="12" max="12" width="20" style="21" bestFit="1" customWidth="1"/>
    <col min="13" max="13" width="12.42578125" style="21" bestFit="1" customWidth="1"/>
  </cols>
  <sheetData>
    <row r="1" spans="1:13">
      <c r="A1" s="27" t="s">
        <v>23</v>
      </c>
      <c r="B1" s="2"/>
      <c r="C1" s="3"/>
      <c r="D1" s="40"/>
      <c r="E1" s="3"/>
      <c r="F1" s="3"/>
      <c r="G1" s="4"/>
      <c r="H1" s="6"/>
      <c r="I1" s="5"/>
      <c r="J1" s="4"/>
      <c r="K1" s="30"/>
      <c r="L1" s="30"/>
      <c r="M1" s="7"/>
    </row>
    <row r="2" spans="1:13">
      <c r="A2" s="9" t="s">
        <v>1</v>
      </c>
      <c r="B2" s="9"/>
      <c r="C2" s="9" t="s">
        <v>24</v>
      </c>
      <c r="D2" s="9"/>
      <c r="E2" s="9"/>
      <c r="F2" s="9"/>
      <c r="G2" s="9"/>
      <c r="H2" s="11"/>
      <c r="I2" s="10" t="s">
        <v>25</v>
      </c>
      <c r="J2" s="9"/>
      <c r="K2" s="10"/>
      <c r="L2" s="10" t="s">
        <v>4</v>
      </c>
      <c r="M2" s="10" t="s">
        <v>5</v>
      </c>
    </row>
    <row r="3" spans="1:13">
      <c r="A3" s="12" cm="1">
        <f t="array" aca="1" ref="A3" ca="1">SUMPRODUCT((A5:A1001&lt;&gt;"")/COUNTIF(A5:A1001,A5:A1001&amp;""))</f>
        <v>0</v>
      </c>
      <c r="B3" s="12"/>
      <c r="C3" s="12" cm="1">
        <f t="array" aca="1" ref="C3" ca="1">SUMPRODUCT((C5:C1001&lt;&gt;"")/COUNTIF(C5:C1001,C5:C1001&amp;""))</f>
        <v>0</v>
      </c>
      <c r="D3" s="12"/>
      <c r="E3" s="34"/>
      <c r="F3" s="34"/>
      <c r="G3" s="12"/>
      <c r="H3" s="14"/>
      <c r="I3" s="41">
        <f ca="1">SUM(I5:I1048576)</f>
        <v>0</v>
      </c>
      <c r="J3" s="12"/>
      <c r="K3" s="16"/>
      <c r="L3" s="16">
        <f ca="1">SUM(L5:L1048576)</f>
        <v>0</v>
      </c>
      <c r="M3" s="16">
        <f ca="1">SUM(M5:M1048576)</f>
        <v>0</v>
      </c>
    </row>
    <row r="4" spans="1:13" ht="30">
      <c r="A4" s="42" t="s">
        <v>6</v>
      </c>
      <c r="B4" s="42" t="s">
        <v>7</v>
      </c>
      <c r="C4" s="42" t="s">
        <v>26</v>
      </c>
      <c r="D4" s="42" t="s">
        <v>27</v>
      </c>
      <c r="E4" s="42" t="s">
        <v>28</v>
      </c>
      <c r="F4" s="17" t="s">
        <v>11</v>
      </c>
      <c r="G4" s="17" t="s">
        <v>12</v>
      </c>
      <c r="H4" s="17" t="s">
        <v>29</v>
      </c>
      <c r="I4" s="43" t="s">
        <v>30</v>
      </c>
      <c r="J4" s="18" t="s">
        <v>13</v>
      </c>
      <c r="K4" s="43" t="s">
        <v>16</v>
      </c>
      <c r="L4" s="43" t="s">
        <v>17</v>
      </c>
      <c r="M4" s="43" t="s">
        <v>18</v>
      </c>
    </row>
  </sheetData>
  <protectedRanges>
    <protectedRange sqref="I1:J3" name="Summary_2"/>
    <protectedRange sqref="F1:H3" name="Summary_1_1"/>
  </protectedRanges>
  <dataValidations count="9">
    <dataValidation type="textLength" operator="equal" allowBlank="1" showInputMessage="1" showErrorMessage="1" error="GSTIN should be 15 characters. Please Enter valid GSTIN." sqref="A5:A1048576" xr:uid="{256F82D8-CA05-4551-AB1D-47722E478194}">
      <formula1>15</formula1>
    </dataValidation>
    <dataValidation type="textLength" allowBlank="1" showInputMessage="1" showErrorMessage="1" sqref="C5:C1048576" xr:uid="{6E1B392F-E440-4A8D-9F46-FC9EA63607BA}">
      <formula1>1</formula1>
      <formula2>16</formula2>
    </dataValidation>
    <dataValidation type="list" allowBlank="1" showInputMessage="1" showErrorMessage="1" sqref="E5:E1048576" xr:uid="{5251DBBC-DA54-4B8F-BABB-F87CE1617765}">
      <formula1>CDRNOTE</formula1>
    </dataValidation>
    <dataValidation type="list" allowBlank="1" showInputMessage="1" showErrorMessage="1" sqref="F5:F1048576" xr:uid="{D77FF7AC-BFB3-4FC9-AA23-83B3C305BF51}">
      <formula1>POS</formula1>
    </dataValidation>
    <dataValidation type="list" allowBlank="1" showInputMessage="1" showErrorMessage="1" sqref="G5:G1048576" xr:uid="{82EA6571-A129-48FB-9BE9-1C703A5CA0A9}">
      <formula1>RCHARGE</formula1>
    </dataValidation>
    <dataValidation type="list" allowBlank="1" showInputMessage="1" showErrorMessage="1" sqref="H5:H1048576" xr:uid="{7C875913-7584-450D-AF7C-B4E7EA5403C0}">
      <formula1>INVTYPE</formula1>
    </dataValidation>
    <dataValidation type="list" allowBlank="1" showInputMessage="1" showErrorMessage="1" sqref="J5:J1048576" xr:uid="{D9AA80CF-C9B2-4060-A5B8-07ABF7F0F4CB}">
      <formula1>DIFF</formula1>
    </dataValidation>
    <dataValidation type="list" allowBlank="1" showInputMessage="1" showErrorMessage="1" sqref="K5:K1048576" xr:uid="{B4E06968-A043-476C-9BFD-E1B5BFB57DD3}">
      <formula1>RATE</formula1>
    </dataValidation>
    <dataValidation type="decimal" operator="greaterThanOrEqual" allowBlank="1" showInputMessage="1" showErrorMessage="1" sqref="L5:M1048576 I5:I1048576" xr:uid="{C9380CD9-29B5-4276-ADB0-63604E0B04E9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14C9-09AC-4F0D-97AE-3EDF64BFE1C6}">
  <dimension ref="A1:J5"/>
  <sheetViews>
    <sheetView workbookViewId="0">
      <pane ySplit="4" topLeftCell="A5" activePane="bottomLeft" state="frozen"/>
      <selection pane="bottomLeft" activeCell="I5" sqref="I5"/>
    </sheetView>
  </sheetViews>
  <sheetFormatPr defaultRowHeight="15"/>
  <cols>
    <col min="1" max="1" width="26.5703125" style="93" bestFit="1" customWidth="1"/>
    <col min="2" max="2" width="27.7109375" style="56" bestFit="1" customWidth="1"/>
    <col min="3" max="3" width="25.5703125" style="20" bestFit="1" customWidth="1"/>
    <col min="4" max="4" width="14.7109375" style="92" bestFit="1" customWidth="1"/>
    <col min="5" max="5" width="19.42578125" style="22" bestFit="1" customWidth="1"/>
    <col min="6" max="6" width="25.140625" style="21" bestFit="1" customWidth="1"/>
    <col min="7" max="7" width="14.85546875" style="94" customWidth="1"/>
    <col min="8" max="8" width="5.5703125" style="26" bestFit="1" customWidth="1"/>
    <col min="9" max="9" width="20" style="21" bestFit="1" customWidth="1"/>
    <col min="10" max="10" width="12.42578125" style="21" bestFit="1" customWidth="1"/>
  </cols>
  <sheetData>
    <row r="1" spans="1:10">
      <c r="A1" s="27" t="s">
        <v>31</v>
      </c>
      <c r="B1" s="3"/>
      <c r="C1" s="40"/>
      <c r="D1" s="3"/>
      <c r="E1" s="3"/>
      <c r="F1" s="5"/>
      <c r="G1" s="4"/>
      <c r="H1" s="29"/>
      <c r="I1" s="30"/>
      <c r="J1" s="7"/>
    </row>
    <row r="2" spans="1:10">
      <c r="A2" s="9"/>
      <c r="B2" s="9" t="s">
        <v>32</v>
      </c>
      <c r="C2" s="9"/>
      <c r="D2" s="9"/>
      <c r="E2" s="9"/>
      <c r="F2" s="10" t="s">
        <v>25</v>
      </c>
      <c r="G2" s="9"/>
      <c r="H2" s="32"/>
      <c r="I2" s="10" t="s">
        <v>4</v>
      </c>
      <c r="J2" s="10" t="s">
        <v>5</v>
      </c>
    </row>
    <row r="3" spans="1:10">
      <c r="A3" s="34"/>
      <c r="B3" s="12">
        <f ca="1">SUMPRODUCT((B5:B1001&lt;&gt;"")/COUNTIF(B5:B1001,B5:B1001&amp;""))</f>
        <v>0</v>
      </c>
      <c r="C3" s="12"/>
      <c r="D3" s="34"/>
      <c r="E3" s="34"/>
      <c r="F3" s="41">
        <f ca="1">SUM(F5:F1048576)</f>
        <v>0</v>
      </c>
      <c r="G3" s="12"/>
      <c r="H3" s="44"/>
      <c r="I3" s="16">
        <f ca="1">SUM(I5:I1048576)</f>
        <v>0</v>
      </c>
      <c r="J3" s="16">
        <f ca="1">SUM(J5:J1048576)</f>
        <v>0</v>
      </c>
    </row>
    <row r="4" spans="1:10" ht="30">
      <c r="A4" s="17" t="s">
        <v>33</v>
      </c>
      <c r="B4" s="42" t="s">
        <v>26</v>
      </c>
      <c r="C4" s="42" t="s">
        <v>27</v>
      </c>
      <c r="D4" s="42" t="s">
        <v>28</v>
      </c>
      <c r="E4" s="17" t="s">
        <v>11</v>
      </c>
      <c r="F4" s="43" t="s">
        <v>30</v>
      </c>
      <c r="G4" s="18" t="s">
        <v>13</v>
      </c>
      <c r="H4" s="45" t="s">
        <v>16</v>
      </c>
      <c r="I4" s="43" t="s">
        <v>17</v>
      </c>
      <c r="J4" s="43" t="s">
        <v>18</v>
      </c>
    </row>
    <row r="5" spans="1:10">
      <c r="G5" s="90"/>
    </row>
  </sheetData>
  <protectedRanges>
    <protectedRange sqref="F1:G3" name="Summary_1_1"/>
    <protectedRange sqref="E1:E3" name="Summary_2_1"/>
  </protectedRanges>
  <dataValidations count="7">
    <dataValidation type="textLength" allowBlank="1" showInputMessage="1" showErrorMessage="1" sqref="B5:B1048576" xr:uid="{46113DB5-E3D3-4B9F-9B08-60FECA4EB665}">
      <formula1>1</formula1>
      <formula2>16</formula2>
    </dataValidation>
    <dataValidation type="list" allowBlank="1" showInputMessage="1" showErrorMessage="1" sqref="A5:A1048576" xr:uid="{CA96BFED-F343-42B0-8A49-BFB2F7ADBCA9}">
      <formula1>URTYPE</formula1>
    </dataValidation>
    <dataValidation type="list" allowBlank="1" showInputMessage="1" showErrorMessage="1" sqref="D5:D1048576" xr:uid="{705DED39-822A-41D9-AB8B-71EC4A2551F1}">
      <formula1>CDRNOTE</formula1>
    </dataValidation>
    <dataValidation type="list" allowBlank="1" showInputMessage="1" showErrorMessage="1" sqref="E5:E1048576" xr:uid="{4E76A767-CACE-44EB-8AC5-12C3EB061DE6}">
      <formula1>POS</formula1>
    </dataValidation>
    <dataValidation type="list" allowBlank="1" showInputMessage="1" showErrorMessage="1" sqref="H5" xr:uid="{4AD542FB-F370-47CE-A5C7-7ADE8AAE9DDC}">
      <formula1>RATE</formula1>
    </dataValidation>
    <dataValidation type="list" allowBlank="1" showInputMessage="1" showErrorMessage="1" sqref="G5" xr:uid="{41077115-4EA0-41A6-9A36-5106B5F31F67}">
      <formula1>DIFF</formula1>
    </dataValidation>
    <dataValidation type="decimal" operator="greaterThanOrEqual" allowBlank="1" showInputMessage="1" showErrorMessage="1" sqref="I5:J1048576 F5:F1048576" xr:uid="{9B0C2BBF-78EF-4CC0-B911-242C019C5E63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CD06-A065-4AA3-A0CB-7559F5BE4146}">
  <dimension ref="A1:J4"/>
  <sheetViews>
    <sheetView workbookViewId="0">
      <pane ySplit="4" topLeftCell="A1048548" activePane="bottomLeft" state="frozen"/>
      <selection pane="bottomLeft" activeCell="I1048557" sqref="I1048557"/>
    </sheetView>
  </sheetViews>
  <sheetFormatPr defaultRowHeight="15"/>
  <cols>
    <col min="1" max="1" width="21" style="8" bestFit="1" customWidth="1"/>
    <col min="2" max="2" width="15.28515625" style="21" bestFit="1" customWidth="1"/>
    <col min="3" max="3" width="11.28515625" style="95" bestFit="1" customWidth="1"/>
    <col min="4" max="4" width="19.5703125" style="21" bestFit="1" customWidth="1"/>
    <col min="5" max="5" width="9.5703125" style="24" bestFit="1" customWidth="1"/>
    <col min="6" max="6" width="19.28515625" style="96" bestFit="1" customWidth="1"/>
    <col min="7" max="7" width="16.140625" style="95" bestFit="1" customWidth="1"/>
    <col min="8" max="8" width="5.5703125" style="26" bestFit="1" customWidth="1"/>
    <col min="9" max="10" width="20" style="21" bestFit="1" customWidth="1"/>
  </cols>
  <sheetData>
    <row r="1" spans="1:10">
      <c r="A1" s="27" t="s">
        <v>34</v>
      </c>
      <c r="B1" s="3"/>
      <c r="C1" s="3"/>
      <c r="D1" s="30"/>
      <c r="E1" s="3"/>
      <c r="F1" s="3"/>
      <c r="G1" s="3"/>
      <c r="H1" s="30"/>
      <c r="I1" s="8"/>
      <c r="J1" s="7"/>
    </row>
    <row r="2" spans="1:10">
      <c r="A2" s="9"/>
      <c r="B2" s="9" t="s">
        <v>2</v>
      </c>
      <c r="C2" s="9"/>
      <c r="D2" s="10" t="s">
        <v>3</v>
      </c>
      <c r="E2" s="9"/>
      <c r="F2" s="9" t="s">
        <v>35</v>
      </c>
      <c r="G2" s="9"/>
      <c r="H2" s="10"/>
      <c r="I2" s="9"/>
      <c r="J2" s="10" t="s">
        <v>4</v>
      </c>
    </row>
    <row r="3" spans="1:10">
      <c r="A3" s="34"/>
      <c r="B3" s="12">
        <f ca="1">SUMPRODUCT((B5:B20004&lt;&gt;"")/COUNTIF(B5:B20004,B5:B20004&amp;""))</f>
        <v>0</v>
      </c>
      <c r="C3" s="34"/>
      <c r="D3" s="41">
        <f ca="1">SUMPRODUCT(1/COUNTIF(B5:B20004,B5:B20004&amp;""),D5:D20004)</f>
        <v>0</v>
      </c>
      <c r="E3" s="34"/>
      <c r="F3" s="12">
        <f ca="1">SUMPRODUCT((F5:F20004&lt;&gt;"")/COUNTIF(F5:F20004,F5:F20004&amp;""))</f>
        <v>0</v>
      </c>
      <c r="G3" s="34"/>
      <c r="H3" s="16"/>
      <c r="I3" s="16"/>
      <c r="J3" s="16">
        <f ca="1">SUM(I5:I20004)</f>
        <v>0</v>
      </c>
    </row>
    <row r="4" spans="1:10">
      <c r="A4" s="46" t="s">
        <v>36</v>
      </c>
      <c r="B4" s="46" t="s">
        <v>8</v>
      </c>
      <c r="C4" s="46" t="s">
        <v>9</v>
      </c>
      <c r="D4" s="47" t="s">
        <v>10</v>
      </c>
      <c r="E4" s="46" t="s">
        <v>37</v>
      </c>
      <c r="F4" s="46" t="s">
        <v>38</v>
      </c>
      <c r="G4" s="46" t="s">
        <v>39</v>
      </c>
      <c r="H4" s="47" t="s">
        <v>16</v>
      </c>
      <c r="I4" s="47" t="s">
        <v>17</v>
      </c>
      <c r="J4" s="47" t="s">
        <v>18</v>
      </c>
    </row>
  </sheetData>
  <dataValidations count="6">
    <dataValidation type="list" allowBlank="1" showInputMessage="1" showErrorMessage="1" sqref="A5" xr:uid="{911D5270-1FA9-4B81-9885-8F70438904D3}">
      <formula1>EXP</formula1>
    </dataValidation>
    <dataValidation type="textLength" allowBlank="1" showInputMessage="1" showErrorMessage="1" sqref="B5:B1048576" xr:uid="{AE3319B3-F395-40AF-98B7-433CA2228AA6}">
      <formula1>1</formula1>
      <formula2>16</formula2>
    </dataValidation>
    <dataValidation type="decimal" operator="greaterThanOrEqual" allowBlank="1" showInputMessage="1" showErrorMessage="1" sqref="D5:D1048576 I5:J1048576" xr:uid="{09DC4545-FC44-4DD4-B1A3-F7F4037D6281}">
      <formula1>0</formula1>
    </dataValidation>
    <dataValidation type="textLength" allowBlank="1" showInputMessage="1" showErrorMessage="1" sqref="F5:F1048576" xr:uid="{EE8D937F-EEAE-4F4B-B7FE-1443FA3F6853}">
      <formula1>1</formula1>
      <formula2>7</formula2>
    </dataValidation>
    <dataValidation type="textLength" allowBlank="1" showInputMessage="1" showErrorMessage="1" sqref="E5:E1048576" xr:uid="{EBB039FC-A227-4C20-AAAF-668F94820707}">
      <formula1>1</formula1>
      <formula2>6</formula2>
    </dataValidation>
    <dataValidation type="list" allowBlank="1" showInputMessage="1" showErrorMessage="1" sqref="H5:H1048576" xr:uid="{49FC12D4-7AAC-4BF2-8BAC-040F11AB3CB5}">
      <formula1>RATE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AF21-8EE4-4D19-B8BA-688BAFC9DC9F}">
  <dimension ref="A1:E4"/>
  <sheetViews>
    <sheetView workbookViewId="0">
      <pane ySplit="4" topLeftCell="A5" activePane="bottomLeft" state="frozen"/>
      <selection pane="bottomLeft" activeCell="A5" sqref="A5:E5"/>
    </sheetView>
  </sheetViews>
  <sheetFormatPr defaultRowHeight="15"/>
  <cols>
    <col min="1" max="1" width="28.42578125" style="22" customWidth="1"/>
    <col min="2" max="2" width="14.85546875" style="24" customWidth="1"/>
    <col min="3" max="3" width="5.5703125" style="26" bestFit="1" customWidth="1"/>
    <col min="4" max="4" width="24" style="21" bestFit="1" customWidth="1"/>
    <col min="5" max="5" width="12.42578125" style="21" bestFit="1" customWidth="1"/>
  </cols>
  <sheetData>
    <row r="1" spans="1:5" ht="28.5">
      <c r="A1" s="48" t="s">
        <v>40</v>
      </c>
      <c r="B1" s="4"/>
      <c r="C1" s="30"/>
      <c r="D1" s="29"/>
      <c r="E1" s="7"/>
    </row>
    <row r="2" spans="1:5">
      <c r="A2" s="9"/>
      <c r="B2" s="9"/>
      <c r="C2" s="10"/>
      <c r="D2" s="10" t="s">
        <v>41</v>
      </c>
      <c r="E2" s="10" t="s">
        <v>5</v>
      </c>
    </row>
    <row r="3" spans="1:5">
      <c r="A3" s="12"/>
      <c r="B3" s="12"/>
      <c r="C3" s="16"/>
      <c r="D3" s="16">
        <f ca="1">SUM(D5:D1048576)</f>
        <v>0</v>
      </c>
      <c r="E3" s="16">
        <f ca="1">SUM(E5:E1048576)</f>
        <v>0</v>
      </c>
    </row>
    <row r="4" spans="1:5" ht="30">
      <c r="A4" s="17" t="s">
        <v>11</v>
      </c>
      <c r="B4" s="18" t="s">
        <v>13</v>
      </c>
      <c r="C4" s="49" t="s">
        <v>16</v>
      </c>
      <c r="D4" s="49" t="s">
        <v>42</v>
      </c>
      <c r="E4" s="49" t="s">
        <v>18</v>
      </c>
    </row>
  </sheetData>
  <dataValidations count="4">
    <dataValidation type="list" allowBlank="1" showInputMessage="1" showErrorMessage="1" sqref="A5:A1048576" xr:uid="{91201E45-4249-460D-B5B2-0B4CB506F11C}">
      <formula1>POS</formula1>
    </dataValidation>
    <dataValidation type="list" allowBlank="1" showInputMessage="1" showErrorMessage="1" sqref="B5:B1048576" xr:uid="{35ED1488-3BDD-47D9-9F4C-DEAABC768D22}">
      <formula1>DIFF</formula1>
    </dataValidation>
    <dataValidation type="list" allowBlank="1" showInputMessage="1" showErrorMessage="1" sqref="C5:C1048576" xr:uid="{C82A3C3C-8C38-47F0-B557-D954AB66C26E}">
      <formula1>RATE</formula1>
    </dataValidation>
    <dataValidation type="decimal" allowBlank="1" showInputMessage="1" showErrorMessage="1" sqref="D5:E1048576" xr:uid="{DB4FB19E-4C5E-4228-9430-A4745D1D2148}">
      <formula1>-99999999999.99</formula1>
      <formula2>99999999999.99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5EEE-F61A-4C9B-9FF2-1C64A965F095}">
  <dimension ref="A1:E4"/>
  <sheetViews>
    <sheetView zoomScaleNormal="100" workbookViewId="0">
      <pane ySplit="4" topLeftCell="A1048550" activePane="bottomLeft" state="frozen"/>
      <selection pane="bottomLeft" activeCell="E5" sqref="E5:E1048576"/>
    </sheetView>
  </sheetViews>
  <sheetFormatPr defaultRowHeight="15"/>
  <cols>
    <col min="1" max="1" width="27.85546875" style="22" customWidth="1"/>
    <col min="2" max="2" width="14.85546875" style="24" customWidth="1"/>
    <col min="3" max="3" width="5.5703125" style="26" bestFit="1" customWidth="1"/>
    <col min="4" max="4" width="24" style="21" bestFit="1" customWidth="1"/>
    <col min="5" max="5" width="12.42578125" style="21" bestFit="1" customWidth="1"/>
  </cols>
  <sheetData>
    <row r="1" spans="1:5" ht="28.5">
      <c r="A1" s="48" t="s">
        <v>43</v>
      </c>
      <c r="B1" s="4"/>
      <c r="C1" s="30"/>
      <c r="D1" s="29"/>
      <c r="E1" s="7"/>
    </row>
    <row r="2" spans="1:5">
      <c r="A2" s="9"/>
      <c r="B2" s="9"/>
      <c r="C2" s="10"/>
      <c r="D2" s="10" t="s">
        <v>44</v>
      </c>
      <c r="E2" s="10" t="s">
        <v>5</v>
      </c>
    </row>
    <row r="3" spans="1:5">
      <c r="A3" s="12"/>
      <c r="B3" s="12"/>
      <c r="C3" s="16"/>
      <c r="D3" s="16">
        <f ca="1">SUM(D5:D1048576)</f>
        <v>0</v>
      </c>
      <c r="E3" s="16">
        <f ca="1">SUM(E5:E148576)</f>
        <v>0</v>
      </c>
    </row>
    <row r="4" spans="1:5" ht="30">
      <c r="A4" s="17" t="s">
        <v>11</v>
      </c>
      <c r="B4" s="18" t="s">
        <v>13</v>
      </c>
      <c r="C4" s="49" t="s">
        <v>16</v>
      </c>
      <c r="D4" s="49" t="s">
        <v>45</v>
      </c>
      <c r="E4" s="49" t="s">
        <v>18</v>
      </c>
    </row>
  </sheetData>
  <dataValidations count="4">
    <dataValidation type="decimal" allowBlank="1" showInputMessage="1" showErrorMessage="1" sqref="D5:E1048576" xr:uid="{E1A747F6-B438-4FC8-A86D-D6343E2E66C1}">
      <formula1>-99999999999.99</formula1>
      <formula2>99999999999.99</formula2>
    </dataValidation>
    <dataValidation type="list" allowBlank="1" showInputMessage="1" showErrorMessage="1" sqref="C5:C1048576" xr:uid="{587785E9-520D-4FE8-B074-12FDE20C4304}">
      <formula1>RATE</formula1>
    </dataValidation>
    <dataValidation type="list" allowBlank="1" showInputMessage="1" showErrorMessage="1" sqref="B5:B1048576" xr:uid="{7A7461C5-845B-4291-A670-88480AEDF64D}">
      <formula1>DIFF</formula1>
    </dataValidation>
    <dataValidation type="list" allowBlank="1" showInputMessage="1" showErrorMessage="1" sqref="A5:A1048576" xr:uid="{61DEDFEF-3CCC-4F4E-8D13-2F7E2BBEE7AE}">
      <formula1>POS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B225-661E-41CB-AA28-C2ECAB1D9366}">
  <dimension ref="A1:D4"/>
  <sheetViews>
    <sheetView workbookViewId="0">
      <pane ySplit="4" topLeftCell="A1048550" activePane="bottomLeft" state="frozen"/>
      <selection pane="bottomLeft" activeCell="D1048559" sqref="D1048559"/>
    </sheetView>
  </sheetViews>
  <sheetFormatPr defaultRowHeight="15"/>
  <cols>
    <col min="1" max="1" width="38.140625" style="8" bestFit="1" customWidth="1"/>
    <col min="2" max="2" width="24.140625" style="26" bestFit="1" customWidth="1"/>
    <col min="3" max="3" width="24.85546875" style="26" bestFit="1" customWidth="1"/>
    <col min="4" max="4" width="24" style="26" bestFit="1" customWidth="1"/>
  </cols>
  <sheetData>
    <row r="1" spans="1:4" ht="28.5">
      <c r="A1" s="48" t="s">
        <v>46</v>
      </c>
      <c r="B1" s="29"/>
      <c r="C1" s="30"/>
      <c r="D1" s="7"/>
    </row>
    <row r="2" spans="1:4">
      <c r="A2" s="9"/>
      <c r="B2" s="10" t="s">
        <v>47</v>
      </c>
      <c r="C2" s="10" t="s">
        <v>48</v>
      </c>
      <c r="D2" s="10" t="s">
        <v>49</v>
      </c>
    </row>
    <row r="3" spans="1:4">
      <c r="A3" s="12"/>
      <c r="B3" s="16">
        <f ca="1">SUM(B5:B1048576)</f>
        <v>0</v>
      </c>
      <c r="C3" s="16">
        <f ca="1">SUM(C5:C1048576)</f>
        <v>0</v>
      </c>
      <c r="D3" s="16">
        <f ca="1">SUM(D5:D1048576)</f>
        <v>0</v>
      </c>
    </row>
    <row r="4" spans="1:4" ht="30">
      <c r="A4" s="50" t="s">
        <v>50</v>
      </c>
      <c r="B4" s="51" t="s">
        <v>51</v>
      </c>
      <c r="C4" s="52" t="s">
        <v>52</v>
      </c>
      <c r="D4" s="53" t="s">
        <v>53</v>
      </c>
    </row>
  </sheetData>
  <dataValidations count="1">
    <dataValidation type="decimal" operator="greaterThanOrEqual" allowBlank="1" showInputMessage="1" showErrorMessage="1" error="Negative value not allowed. Please enter positive value." sqref="B5:D1048576" xr:uid="{A90425E1-994D-40C4-A2E4-5FBE5915E2E5}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D4B-4913-4AC9-8F0A-7D068D18E0EC}">
  <dimension ref="A1:K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.5703125" style="24" bestFit="1" customWidth="1"/>
    <col min="2" max="2" width="14.140625" style="19" bestFit="1" customWidth="1"/>
    <col min="3" max="3" width="19.28515625" style="8" bestFit="1" customWidth="1"/>
    <col min="4" max="4" width="13.42578125" style="21" customWidth="1"/>
    <col min="5" max="5" width="23.7109375" style="26" customWidth="1"/>
    <col min="6" max="6" width="15.28515625" style="21" customWidth="1"/>
    <col min="7" max="7" width="29.140625" style="26" bestFit="1" customWidth="1"/>
    <col min="8" max="8" width="21" style="26" bestFit="1" customWidth="1"/>
    <col min="9" max="9" width="18.5703125" style="26" bestFit="1" customWidth="1"/>
    <col min="10" max="10" width="20.140625" style="26" bestFit="1" customWidth="1"/>
    <col min="11" max="11" width="12.42578125" style="26" bestFit="1" customWidth="1"/>
  </cols>
  <sheetData>
    <row r="1" spans="1:11" ht="15.75" thickBot="1">
      <c r="A1" s="54" t="s">
        <v>54</v>
      </c>
      <c r="B1" s="55"/>
      <c r="C1" s="56"/>
      <c r="D1" s="57"/>
      <c r="E1" s="57"/>
      <c r="F1" s="57"/>
      <c r="G1" s="57"/>
      <c r="H1" s="57"/>
      <c r="I1" s="57"/>
      <c r="J1" s="57"/>
      <c r="K1" s="58"/>
    </row>
    <row r="2" spans="1:11" ht="15.75" thickBot="1">
      <c r="A2" s="59" t="s">
        <v>55</v>
      </c>
      <c r="B2" s="60"/>
      <c r="C2" s="61"/>
      <c r="D2" s="62"/>
      <c r="E2" s="62" t="s">
        <v>56</v>
      </c>
      <c r="F2" s="62"/>
      <c r="G2" s="62" t="s">
        <v>4</v>
      </c>
      <c r="H2" s="63" t="s">
        <v>57</v>
      </c>
      <c r="I2" s="63" t="s">
        <v>58</v>
      </c>
      <c r="J2" s="63" t="s">
        <v>59</v>
      </c>
      <c r="K2" s="64" t="s">
        <v>5</v>
      </c>
    </row>
    <row r="3" spans="1:11">
      <c r="A3" s="65">
        <f>SUMPRODUCT((A5:A2000&lt;&gt;"")/COUNTIF(A5:A2000,A5:A2000&amp;""))</f>
        <v>0</v>
      </c>
      <c r="B3" s="66"/>
      <c r="C3" s="67"/>
      <c r="D3" s="68"/>
      <c r="E3" s="68">
        <f ca="1">SUM(E5:E2000)</f>
        <v>0</v>
      </c>
      <c r="F3" s="68"/>
      <c r="G3" s="68">
        <f t="shared" ref="G3:K3" ca="1" si="0">SUM(G5:G2000)</f>
        <v>0</v>
      </c>
      <c r="H3" s="68">
        <f t="shared" ca="1" si="0"/>
        <v>0</v>
      </c>
      <c r="I3" s="68">
        <f t="shared" ca="1" si="0"/>
        <v>0</v>
      </c>
      <c r="J3" s="68">
        <f t="shared" ca="1" si="0"/>
        <v>0</v>
      </c>
      <c r="K3" s="69">
        <f t="shared" ca="1" si="0"/>
        <v>0</v>
      </c>
    </row>
    <row r="4" spans="1:11">
      <c r="A4" s="70" t="s">
        <v>60</v>
      </c>
      <c r="B4" s="71" t="s">
        <v>50</v>
      </c>
      <c r="C4" s="71" t="s">
        <v>61</v>
      </c>
      <c r="D4" s="72" t="s">
        <v>62</v>
      </c>
      <c r="E4" s="72" t="s">
        <v>56</v>
      </c>
      <c r="F4" s="72" t="s">
        <v>16</v>
      </c>
      <c r="G4" s="72" t="s">
        <v>17</v>
      </c>
      <c r="H4" s="72" t="s">
        <v>63</v>
      </c>
      <c r="I4" s="72" t="s">
        <v>64</v>
      </c>
      <c r="J4" s="72" t="s">
        <v>65</v>
      </c>
      <c r="K4" s="72" t="s">
        <v>18</v>
      </c>
    </row>
  </sheetData>
  <dataValidations count="3">
    <dataValidation type="list" allowBlank="1" showInputMessage="1" showErrorMessage="1" sqref="F5:F1048576" xr:uid="{0BBDF68C-4A3C-4A5F-BD26-7AD6356AF430}">
      <formula1>RATE</formula1>
    </dataValidation>
    <dataValidation type="list" allowBlank="1" showInputMessage="1" showErrorMessage="1" sqref="C5:C1048576" xr:uid="{2933F69D-54B6-4839-A7EF-8501797430AD}">
      <formula1>UQC</formula1>
    </dataValidation>
    <dataValidation type="decimal" operator="greaterThanOrEqual" allowBlank="1" showInputMessage="1" showErrorMessage="1" error="Negative value not allowed. Please enter positive value." sqref="E5:E1048576 G5:K1048576" xr:uid="{F8911570-8AAA-4508-B273-686D04AE37C3}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BF6E-CD73-4FBE-80C5-098951216B18}">
  <dimension ref="A1:E5"/>
  <sheetViews>
    <sheetView workbookViewId="0">
      <pane ySplit="4" topLeftCell="J1048548" activePane="bottomLeft" state="frozen"/>
      <selection pane="bottomLeft" activeCell="E1048564" sqref="E1048564"/>
    </sheetView>
  </sheetViews>
  <sheetFormatPr defaultRowHeight="15"/>
  <cols>
    <col min="1" max="1" width="50.7109375" style="19" bestFit="1" customWidth="1"/>
    <col min="2" max="2" width="12.140625" style="19" bestFit="1" customWidth="1"/>
    <col min="3" max="3" width="11" style="8" bestFit="1" customWidth="1"/>
    <col min="4" max="4" width="14.140625" style="98" customWidth="1"/>
    <col min="5" max="5" width="15.85546875" style="26" bestFit="1" customWidth="1"/>
  </cols>
  <sheetData>
    <row r="1" spans="1:5" ht="28.5">
      <c r="A1" s="73" t="s">
        <v>66</v>
      </c>
      <c r="B1" s="74"/>
      <c r="C1" s="3"/>
      <c r="D1" s="30"/>
      <c r="E1" s="7"/>
    </row>
    <row r="2" spans="1:5">
      <c r="A2" s="11"/>
      <c r="B2" s="11"/>
      <c r="C2" s="75"/>
      <c r="D2" s="10" t="s">
        <v>67</v>
      </c>
      <c r="E2" s="10" t="s">
        <v>68</v>
      </c>
    </row>
    <row r="3" spans="1:5">
      <c r="A3" s="14"/>
      <c r="B3" s="14"/>
      <c r="C3" s="34"/>
      <c r="D3" s="76">
        <f ca="1">SUM(D5:D1048576)</f>
        <v>0</v>
      </c>
      <c r="E3" s="76">
        <f ca="1">SUM(E5:E1048576)</f>
        <v>0</v>
      </c>
    </row>
    <row r="4" spans="1:5">
      <c r="A4" s="77" t="s">
        <v>69</v>
      </c>
      <c r="B4" s="77" t="s">
        <v>70</v>
      </c>
      <c r="C4" s="78" t="s">
        <v>71</v>
      </c>
      <c r="D4" s="53" t="s">
        <v>67</v>
      </c>
      <c r="E4" s="79" t="s">
        <v>72</v>
      </c>
    </row>
    <row r="5" spans="1:5">
      <c r="D5" s="26"/>
    </row>
  </sheetData>
  <dataValidations count="3">
    <dataValidation type="list" allowBlank="1" showInputMessage="1" showErrorMessage="1" sqref="A5:A1048576" xr:uid="{5DF15ED6-DF3D-48CC-AC3F-49931C551B8C}">
      <formula1>DOCUMENT</formula1>
    </dataValidation>
    <dataValidation type="textLength" allowBlank="1" showInputMessage="1" showErrorMessage="1" error="Invoice number should not exceed 16 characters." sqref="B5:B1048576" xr:uid="{94235D94-A863-457D-BDF9-7FF37C1A73F9}">
      <formula1>1</formula1>
      <formula2>16</formula2>
    </dataValidation>
    <dataValidation type="decimal" operator="greaterThanOrEqual" allowBlank="1" showInputMessage="1" showErrorMessage="1" error="Negative value not allowed. Please enter positive value." sqref="D5:E5 E6:E1048576" xr:uid="{7B0750A4-6F1A-4AD6-A494-98C6D67F2D84}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AA5D-F865-446C-9DBD-6E311A1FD832}">
  <dimension ref="A1:H4"/>
  <sheetViews>
    <sheetView zoomScaleNormal="100" workbookViewId="0">
      <pane ySplit="4" topLeftCell="A5" activePane="bottomLeft" state="frozen"/>
      <selection pane="bottomLeft" activeCell="E5" sqref="E5"/>
    </sheetView>
  </sheetViews>
  <sheetFormatPr defaultRowHeight="15"/>
  <cols>
    <col min="1" max="1" width="42.85546875" style="25" bestFit="1" customWidth="1"/>
    <col min="2" max="2" width="33.5703125" style="19" bestFit="1" customWidth="1"/>
    <col min="3" max="3" width="29.140625" style="19" bestFit="1" customWidth="1"/>
    <col min="4" max="4" width="23.7109375" style="21" customWidth="1"/>
    <col min="5" max="5" width="25.5703125" style="91" customWidth="1"/>
    <col min="6" max="6" width="23" style="21" customWidth="1"/>
    <col min="7" max="7" width="23.7109375" style="21" customWidth="1"/>
    <col min="8" max="8" width="23.140625" style="91" customWidth="1"/>
  </cols>
  <sheetData>
    <row r="1" spans="1:8" ht="15.75">
      <c r="A1" s="80" t="s">
        <v>73</v>
      </c>
      <c r="B1" s="80"/>
      <c r="C1" s="81"/>
      <c r="D1" s="82"/>
      <c r="E1" s="82"/>
      <c r="F1" s="82"/>
      <c r="G1" s="82"/>
      <c r="H1" s="83"/>
    </row>
    <row r="2" spans="1:8" ht="15.75">
      <c r="A2" s="84"/>
      <c r="B2" s="84" t="s">
        <v>74</v>
      </c>
      <c r="C2" s="84"/>
      <c r="D2" s="84" t="s">
        <v>75</v>
      </c>
      <c r="E2" s="84" t="s">
        <v>57</v>
      </c>
      <c r="F2" s="84" t="s">
        <v>76</v>
      </c>
      <c r="G2" s="84" t="s">
        <v>77</v>
      </c>
      <c r="H2" s="84" t="s">
        <v>5</v>
      </c>
    </row>
    <row r="3" spans="1:8" ht="15.75">
      <c r="A3" s="85"/>
      <c r="B3" s="12" cm="1">
        <f t="array" ref="B3">SUMPRODUCT((D5:D1048576&lt;&gt;"")/COUNTIF(D5:D1048576,D5:D1048576&amp;""))</f>
        <v>0</v>
      </c>
      <c r="C3" s="86"/>
      <c r="D3" s="87">
        <f>SUM(D5:D1048576)</f>
        <v>0</v>
      </c>
      <c r="E3" s="87">
        <f>SUM(E5:E1048576)</f>
        <v>0</v>
      </c>
      <c r="F3" s="87">
        <f>SUM(F5:F1048576)</f>
        <v>0</v>
      </c>
      <c r="G3" s="87">
        <f>SUM(G5:G1048576)</f>
        <v>0</v>
      </c>
      <c r="H3" s="87">
        <f>SUM(H5:H1048576)</f>
        <v>0</v>
      </c>
    </row>
    <row r="4" spans="1:8" ht="15.75">
      <c r="A4" s="88" t="s">
        <v>78</v>
      </c>
      <c r="B4" s="89" t="s">
        <v>79</v>
      </c>
      <c r="C4" s="89" t="s">
        <v>80</v>
      </c>
      <c r="D4" s="89" t="s">
        <v>81</v>
      </c>
      <c r="E4" s="89" t="s">
        <v>82</v>
      </c>
      <c r="F4" s="89" t="s">
        <v>83</v>
      </c>
      <c r="G4" s="89" t="s">
        <v>84</v>
      </c>
      <c r="H4" s="89" t="s">
        <v>85</v>
      </c>
    </row>
  </sheetData>
  <dataValidations count="3">
    <dataValidation type="decimal" operator="greaterThanOrEqual" allowBlank="1" showInputMessage="1" showErrorMessage="1" sqref="D1:H4" xr:uid="{4C1D475A-9DEB-443A-8410-26775FA3BF80}">
      <formula1>-9.99999999999999E+21</formula1>
    </dataValidation>
    <dataValidation type="textLength" operator="equal" allowBlank="1" showInputMessage="1" showErrorMessage="1" error="GSTIN should be 15 characters. Please Enter valid GSTIN." sqref="B5:C5 B6:B1048576" xr:uid="{48A683C5-388C-4D79-B6CA-221501B61E1C}">
      <formula1>15</formula1>
    </dataValidation>
    <dataValidation type="list" allowBlank="1" showInputMessage="1" showErrorMessage="1" sqref="A5:A1048576" xr:uid="{C383345C-0ADF-4AD5-8B5C-EC066AE20DEE}">
      <formula1>NATUREOFSUPPLY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B78-6484-4EDD-A1C9-BE9DB5DB0CBC}">
  <dimension ref="A1:P46"/>
  <sheetViews>
    <sheetView topLeftCell="I1" workbookViewId="0">
      <selection activeCell="P1" sqref="P1:P3"/>
    </sheetView>
  </sheetViews>
  <sheetFormatPr defaultRowHeight="15"/>
  <cols>
    <col min="1" max="1" width="29" bestFit="1" customWidth="1"/>
    <col min="2" max="2" width="12.7109375" bestFit="1" customWidth="1"/>
    <col min="4" max="4" width="12.28515625" customWidth="1"/>
    <col min="5" max="5" width="8.42578125" customWidth="1"/>
    <col min="6" max="6" width="5.5703125" bestFit="1" customWidth="1"/>
    <col min="7" max="7" width="18" bestFit="1" customWidth="1"/>
    <col min="8" max="8" width="16.140625" bestFit="1" customWidth="1"/>
    <col min="9" max="9" width="70.42578125" bestFit="1" customWidth="1"/>
    <col min="10" max="10" width="12.28515625" bestFit="1" customWidth="1"/>
    <col min="11" max="11" width="11" customWidth="1"/>
    <col min="12" max="12" width="13.42578125" bestFit="1" customWidth="1"/>
    <col min="13" max="13" width="16" customWidth="1"/>
    <col min="14" max="14" width="14.42578125" customWidth="1"/>
    <col min="15" max="15" width="39.140625" customWidth="1"/>
    <col min="16" max="16" width="40.140625" customWidth="1"/>
  </cols>
  <sheetData>
    <row r="1" spans="1:16" ht="84">
      <c r="A1" s="99" t="s">
        <v>61</v>
      </c>
      <c r="B1" s="100" t="s">
        <v>36</v>
      </c>
      <c r="C1" s="101" t="s">
        <v>86</v>
      </c>
      <c r="D1" s="101" t="s">
        <v>28</v>
      </c>
      <c r="E1" s="101" t="s">
        <v>22</v>
      </c>
      <c r="F1" s="101" t="s">
        <v>87</v>
      </c>
      <c r="G1" s="101" t="s">
        <v>88</v>
      </c>
      <c r="H1" s="101" t="s">
        <v>14</v>
      </c>
      <c r="I1" s="101" t="s">
        <v>89</v>
      </c>
      <c r="J1" s="101" t="s">
        <v>33</v>
      </c>
      <c r="K1" s="101" t="s">
        <v>90</v>
      </c>
      <c r="L1" s="101" t="s">
        <v>91</v>
      </c>
      <c r="M1" s="101" t="s">
        <v>92</v>
      </c>
      <c r="N1" s="101" t="s">
        <v>93</v>
      </c>
      <c r="O1" s="100" t="s">
        <v>94</v>
      </c>
      <c r="P1" s="100" t="s">
        <v>78</v>
      </c>
    </row>
    <row r="2" spans="1:16" ht="29.25">
      <c r="A2" s="102" t="s">
        <v>95</v>
      </c>
      <c r="B2" s="103" t="s">
        <v>96</v>
      </c>
      <c r="C2" s="104" t="s">
        <v>97</v>
      </c>
      <c r="D2" s="105" t="s">
        <v>98</v>
      </c>
      <c r="E2" s="106" t="s">
        <v>99</v>
      </c>
      <c r="F2" s="107">
        <v>0</v>
      </c>
      <c r="G2" s="108" t="s">
        <v>100</v>
      </c>
      <c r="H2" s="109" t="s">
        <v>101</v>
      </c>
      <c r="I2" s="106" t="s">
        <v>102</v>
      </c>
      <c r="J2" s="106" t="s">
        <v>103</v>
      </c>
      <c r="K2" s="110" t="s">
        <v>104</v>
      </c>
      <c r="L2" s="106" t="s">
        <v>105</v>
      </c>
      <c r="M2" s="106" t="s">
        <v>106</v>
      </c>
      <c r="N2" s="106"/>
      <c r="O2" s="111" t="s">
        <v>100</v>
      </c>
      <c r="P2" s="119" t="s">
        <v>107</v>
      </c>
    </row>
    <row r="3" spans="1:16" ht="29.25">
      <c r="A3" s="102" t="s">
        <v>108</v>
      </c>
      <c r="B3" s="103" t="s">
        <v>109</v>
      </c>
      <c r="C3" s="104" t="s">
        <v>110</v>
      </c>
      <c r="D3" s="105" t="s">
        <v>111</v>
      </c>
      <c r="E3" s="106" t="s">
        <v>112</v>
      </c>
      <c r="F3" s="107">
        <v>0.1</v>
      </c>
      <c r="G3" s="108" t="s">
        <v>113</v>
      </c>
      <c r="H3" s="109" t="s">
        <v>114</v>
      </c>
      <c r="I3" s="106" t="s">
        <v>115</v>
      </c>
      <c r="J3" s="106" t="s">
        <v>116</v>
      </c>
      <c r="K3" s="110" t="s">
        <v>117</v>
      </c>
      <c r="L3" s="106" t="s">
        <v>118</v>
      </c>
      <c r="M3" s="106" t="s">
        <v>119</v>
      </c>
      <c r="N3" s="112" t="s">
        <v>120</v>
      </c>
      <c r="O3" s="111" t="s">
        <v>113</v>
      </c>
      <c r="P3" s="119" t="s">
        <v>121</v>
      </c>
    </row>
    <row r="4" spans="1:16" ht="29.25">
      <c r="A4" s="102" t="s">
        <v>122</v>
      </c>
      <c r="B4" s="113"/>
      <c r="C4" s="104"/>
      <c r="D4" s="114"/>
      <c r="E4" s="106"/>
      <c r="F4" s="107">
        <v>0.25</v>
      </c>
      <c r="G4" s="108" t="s">
        <v>123</v>
      </c>
      <c r="H4" s="109" t="s">
        <v>124</v>
      </c>
      <c r="I4" s="106" t="s">
        <v>125</v>
      </c>
      <c r="J4" s="106" t="s">
        <v>126</v>
      </c>
      <c r="K4" s="110"/>
      <c r="L4" s="106" t="s">
        <v>127</v>
      </c>
      <c r="M4" s="106" t="s">
        <v>128</v>
      </c>
      <c r="N4" s="56"/>
      <c r="O4" s="111" t="s">
        <v>123</v>
      </c>
    </row>
    <row r="5" spans="1:16">
      <c r="A5" s="102" t="s">
        <v>129</v>
      </c>
      <c r="B5" s="113"/>
      <c r="C5" s="115"/>
      <c r="D5" s="116"/>
      <c r="E5" s="106"/>
      <c r="F5" s="107">
        <v>1</v>
      </c>
      <c r="G5" s="108" t="s">
        <v>130</v>
      </c>
      <c r="H5" s="109" t="s">
        <v>131</v>
      </c>
      <c r="I5" s="106" t="s">
        <v>132</v>
      </c>
      <c r="J5" s="106"/>
      <c r="K5" s="110"/>
      <c r="L5" s="106" t="s">
        <v>133</v>
      </c>
      <c r="M5" s="106" t="s">
        <v>134</v>
      </c>
      <c r="N5" s="56"/>
      <c r="O5" s="111" t="s">
        <v>130</v>
      </c>
    </row>
    <row r="6" spans="1:16" ht="44.25">
      <c r="A6" s="102" t="s">
        <v>135</v>
      </c>
      <c r="B6" s="113"/>
      <c r="C6" s="115"/>
      <c r="D6" s="116"/>
      <c r="E6" s="106"/>
      <c r="F6" s="107">
        <v>1.5</v>
      </c>
      <c r="G6" s="108" t="s">
        <v>136</v>
      </c>
      <c r="H6" s="109" t="s">
        <v>137</v>
      </c>
      <c r="I6" s="106" t="s">
        <v>138</v>
      </c>
      <c r="J6" s="106"/>
      <c r="K6" s="110"/>
      <c r="L6" s="106" t="s">
        <v>139</v>
      </c>
      <c r="M6" s="106" t="s">
        <v>140</v>
      </c>
      <c r="N6" s="56"/>
      <c r="O6" s="111" t="s">
        <v>136</v>
      </c>
    </row>
    <row r="7" spans="1:16">
      <c r="A7" s="102" t="s">
        <v>141</v>
      </c>
      <c r="B7" s="117"/>
      <c r="C7" s="115"/>
      <c r="D7" s="116"/>
      <c r="E7" s="106"/>
      <c r="F7" s="107">
        <v>3</v>
      </c>
      <c r="G7" s="108" t="s">
        <v>142</v>
      </c>
      <c r="H7" s="109" t="s">
        <v>143</v>
      </c>
      <c r="I7" s="106" t="s">
        <v>144</v>
      </c>
      <c r="J7" s="106"/>
      <c r="K7" s="110"/>
      <c r="L7" s="106" t="s">
        <v>145</v>
      </c>
      <c r="M7" s="106" t="s">
        <v>146</v>
      </c>
      <c r="N7" s="56"/>
      <c r="O7" s="111" t="s">
        <v>142</v>
      </c>
    </row>
    <row r="8" spans="1:16">
      <c r="A8" s="102" t="s">
        <v>147</v>
      </c>
      <c r="B8" s="117"/>
      <c r="C8" s="115"/>
      <c r="D8" s="116"/>
      <c r="E8" s="106"/>
      <c r="F8" s="107">
        <v>5</v>
      </c>
      <c r="G8" s="108" t="s">
        <v>148</v>
      </c>
      <c r="H8" s="109" t="s">
        <v>131</v>
      </c>
      <c r="I8" s="106" t="s">
        <v>149</v>
      </c>
      <c r="J8" s="106"/>
      <c r="K8" s="110"/>
      <c r="L8" s="106" t="s">
        <v>150</v>
      </c>
      <c r="M8" s="106" t="s">
        <v>151</v>
      </c>
      <c r="N8" s="56"/>
      <c r="O8" s="111" t="s">
        <v>148</v>
      </c>
    </row>
    <row r="9" spans="1:16" ht="29.25">
      <c r="A9" s="102" t="s">
        <v>152</v>
      </c>
      <c r="B9" s="118"/>
      <c r="C9" s="106"/>
      <c r="D9" s="106"/>
      <c r="E9" s="106"/>
      <c r="F9" s="107">
        <v>6</v>
      </c>
      <c r="G9" s="108" t="s">
        <v>153</v>
      </c>
      <c r="H9" s="109" t="s">
        <v>114</v>
      </c>
      <c r="I9" s="106" t="s">
        <v>154</v>
      </c>
      <c r="J9" s="106"/>
      <c r="K9" s="110"/>
      <c r="L9" s="106" t="s">
        <v>155</v>
      </c>
      <c r="M9" s="106" t="s">
        <v>156</v>
      </c>
      <c r="N9" s="56"/>
      <c r="O9" s="111" t="s">
        <v>153</v>
      </c>
    </row>
    <row r="10" spans="1:16" ht="29.25">
      <c r="A10" s="102" t="s">
        <v>157</v>
      </c>
      <c r="B10" s="118"/>
      <c r="C10" s="106"/>
      <c r="D10" s="106"/>
      <c r="E10" s="106"/>
      <c r="F10" s="107">
        <v>7.5</v>
      </c>
      <c r="G10" s="108" t="s">
        <v>158</v>
      </c>
      <c r="H10" s="109" t="s">
        <v>124</v>
      </c>
      <c r="I10" s="106" t="s">
        <v>159</v>
      </c>
      <c r="J10" s="106"/>
      <c r="K10" s="110"/>
      <c r="L10" s="106" t="s">
        <v>160</v>
      </c>
      <c r="M10" s="106"/>
      <c r="N10" s="56"/>
      <c r="O10" s="111" t="s">
        <v>158</v>
      </c>
    </row>
    <row r="11" spans="1:16">
      <c r="A11" s="102" t="s">
        <v>161</v>
      </c>
      <c r="B11" s="118"/>
      <c r="C11" s="106"/>
      <c r="D11" s="106"/>
      <c r="E11" s="106"/>
      <c r="F11" s="107">
        <v>12</v>
      </c>
      <c r="G11" s="108" t="s">
        <v>162</v>
      </c>
      <c r="H11" s="109"/>
      <c r="I11" s="106" t="s">
        <v>163</v>
      </c>
      <c r="J11" s="106"/>
      <c r="K11" s="110"/>
      <c r="L11" s="106" t="s">
        <v>164</v>
      </c>
      <c r="M11" s="106"/>
      <c r="N11" s="56"/>
      <c r="O11" s="111" t="s">
        <v>162</v>
      </c>
    </row>
    <row r="12" spans="1:16">
      <c r="A12" s="102" t="s">
        <v>165</v>
      </c>
      <c r="B12" s="118"/>
      <c r="C12" s="106"/>
      <c r="D12" s="106"/>
      <c r="E12" s="106"/>
      <c r="F12" s="107">
        <v>18</v>
      </c>
      <c r="G12" s="108" t="s">
        <v>166</v>
      </c>
      <c r="H12" s="109"/>
      <c r="I12" s="106" t="s">
        <v>167</v>
      </c>
      <c r="J12" s="106"/>
      <c r="K12" s="110"/>
      <c r="L12" s="106" t="s">
        <v>168</v>
      </c>
      <c r="M12" s="106"/>
      <c r="N12" s="56"/>
      <c r="O12" s="111" t="s">
        <v>166</v>
      </c>
    </row>
    <row r="13" spans="1:16" ht="29.25">
      <c r="A13" s="102" t="s">
        <v>169</v>
      </c>
      <c r="B13" s="118"/>
      <c r="C13" s="106"/>
      <c r="D13" s="106"/>
      <c r="E13" s="106"/>
      <c r="F13" s="107">
        <v>28</v>
      </c>
      <c r="G13" s="108" t="s">
        <v>170</v>
      </c>
      <c r="H13" s="109"/>
      <c r="I13" s="106" t="s">
        <v>171</v>
      </c>
      <c r="J13" s="106"/>
      <c r="K13" s="110"/>
      <c r="L13" s="106" t="s">
        <v>172</v>
      </c>
      <c r="M13" s="106"/>
      <c r="N13" s="56"/>
      <c r="O13" s="111" t="s">
        <v>170</v>
      </c>
    </row>
    <row r="14" spans="1:16">
      <c r="A14" s="102" t="s">
        <v>173</v>
      </c>
      <c r="B14" s="118"/>
      <c r="C14" s="106"/>
      <c r="D14" s="106"/>
      <c r="E14" s="106"/>
      <c r="F14" s="105"/>
      <c r="G14" s="108" t="s">
        <v>174</v>
      </c>
      <c r="H14" s="109"/>
      <c r="I14" s="106"/>
      <c r="J14" s="106"/>
      <c r="K14" s="110"/>
      <c r="L14" s="106"/>
      <c r="M14" s="106"/>
      <c r="N14" s="56"/>
      <c r="O14" s="111" t="s">
        <v>174</v>
      </c>
    </row>
    <row r="15" spans="1:16">
      <c r="A15" s="102" t="s">
        <v>175</v>
      </c>
      <c r="B15" s="118"/>
      <c r="C15" s="106"/>
      <c r="D15" s="106"/>
      <c r="E15" s="106"/>
      <c r="F15" s="105"/>
      <c r="G15" s="108" t="s">
        <v>176</v>
      </c>
      <c r="H15" s="109"/>
      <c r="I15" s="106"/>
      <c r="J15" s="106"/>
      <c r="K15" s="110"/>
      <c r="L15" s="106"/>
      <c r="M15" s="106"/>
      <c r="N15" s="56"/>
      <c r="O15" s="111" t="s">
        <v>176</v>
      </c>
    </row>
    <row r="16" spans="1:16">
      <c r="A16" s="102" t="s">
        <v>177</v>
      </c>
      <c r="B16" s="118"/>
      <c r="C16" s="106"/>
      <c r="D16" s="106"/>
      <c r="E16" s="106"/>
      <c r="F16" s="105"/>
      <c r="G16" s="108" t="s">
        <v>178</v>
      </c>
      <c r="H16" s="109"/>
      <c r="I16" s="106"/>
      <c r="J16" s="106"/>
      <c r="K16" s="110"/>
      <c r="L16" s="106"/>
      <c r="M16" s="106"/>
      <c r="N16" s="56"/>
      <c r="O16" s="111" t="s">
        <v>178</v>
      </c>
    </row>
    <row r="17" spans="1:15">
      <c r="A17" s="102" t="s">
        <v>179</v>
      </c>
      <c r="B17" s="118"/>
      <c r="C17" s="106"/>
      <c r="D17" s="106"/>
      <c r="E17" s="106"/>
      <c r="F17" s="105"/>
      <c r="G17" s="108" t="s">
        <v>180</v>
      </c>
      <c r="H17" s="109"/>
      <c r="I17" s="106"/>
      <c r="J17" s="106"/>
      <c r="K17" s="110"/>
      <c r="L17" s="106"/>
      <c r="M17" s="106"/>
      <c r="N17" s="56"/>
      <c r="O17" s="111" t="s">
        <v>180</v>
      </c>
    </row>
    <row r="18" spans="1:15">
      <c r="A18" s="102" t="s">
        <v>181</v>
      </c>
      <c r="B18" s="118"/>
      <c r="C18" s="106"/>
      <c r="D18" s="106"/>
      <c r="E18" s="106"/>
      <c r="F18" s="105"/>
      <c r="G18" s="108" t="s">
        <v>182</v>
      </c>
      <c r="H18" s="109"/>
      <c r="I18" s="106"/>
      <c r="J18" s="106"/>
      <c r="K18" s="110"/>
      <c r="L18" s="106"/>
      <c r="M18" s="106"/>
      <c r="N18" s="56"/>
      <c r="O18" s="111" t="s">
        <v>182</v>
      </c>
    </row>
    <row r="19" spans="1:15">
      <c r="A19" s="102" t="s">
        <v>183</v>
      </c>
      <c r="B19" s="118"/>
      <c r="C19" s="106"/>
      <c r="D19" s="106"/>
      <c r="E19" s="106"/>
      <c r="F19" s="105"/>
      <c r="G19" s="108" t="s">
        <v>184</v>
      </c>
      <c r="H19" s="109"/>
      <c r="I19" s="106"/>
      <c r="J19" s="106"/>
      <c r="K19" s="110"/>
      <c r="L19" s="106"/>
      <c r="M19" s="106"/>
      <c r="N19" s="56"/>
      <c r="O19" s="111" t="s">
        <v>184</v>
      </c>
    </row>
    <row r="20" spans="1:15">
      <c r="A20" s="102" t="s">
        <v>185</v>
      </c>
      <c r="B20" s="118"/>
      <c r="C20" s="106"/>
      <c r="D20" s="106"/>
      <c r="E20" s="106"/>
      <c r="F20" s="105"/>
      <c r="G20" s="108" t="s">
        <v>186</v>
      </c>
      <c r="H20" s="109"/>
      <c r="I20" s="106"/>
      <c r="J20" s="106"/>
      <c r="K20" s="110"/>
      <c r="L20" s="106"/>
      <c r="M20" s="106"/>
      <c r="N20" s="56"/>
      <c r="O20" s="111" t="s">
        <v>186</v>
      </c>
    </row>
    <row r="21" spans="1:15">
      <c r="A21" s="102" t="s">
        <v>187</v>
      </c>
      <c r="B21" s="118"/>
      <c r="C21" s="106"/>
      <c r="D21" s="106"/>
      <c r="E21" s="106"/>
      <c r="F21" s="105"/>
      <c r="G21" s="108" t="s">
        <v>188</v>
      </c>
      <c r="H21" s="109"/>
      <c r="I21" s="106"/>
      <c r="J21" s="106"/>
      <c r="K21" s="110"/>
      <c r="L21" s="106"/>
      <c r="M21" s="106"/>
      <c r="N21" s="56"/>
      <c r="O21" s="111" t="s">
        <v>188</v>
      </c>
    </row>
    <row r="22" spans="1:15">
      <c r="A22" s="102" t="s">
        <v>189</v>
      </c>
      <c r="B22" s="118"/>
      <c r="C22" s="106"/>
      <c r="D22" s="106"/>
      <c r="E22" s="106"/>
      <c r="F22" s="105"/>
      <c r="G22" s="108" t="s">
        <v>190</v>
      </c>
      <c r="H22" s="109"/>
      <c r="I22" s="106"/>
      <c r="J22" s="106"/>
      <c r="K22" s="110"/>
      <c r="L22" s="106"/>
      <c r="M22" s="106"/>
      <c r="N22" s="56"/>
      <c r="O22" s="111" t="s">
        <v>190</v>
      </c>
    </row>
    <row r="23" spans="1:15">
      <c r="A23" s="102" t="s">
        <v>191</v>
      </c>
      <c r="B23" s="118"/>
      <c r="C23" s="106"/>
      <c r="D23" s="106"/>
      <c r="E23" s="106"/>
      <c r="F23" s="105"/>
      <c r="G23" s="108" t="s">
        <v>192</v>
      </c>
      <c r="H23" s="109"/>
      <c r="I23" s="106"/>
      <c r="J23" s="106"/>
      <c r="K23" s="110"/>
      <c r="L23" s="106"/>
      <c r="M23" s="106"/>
      <c r="N23" s="56"/>
      <c r="O23" s="111" t="s">
        <v>192</v>
      </c>
    </row>
    <row r="24" spans="1:15">
      <c r="A24" s="102" t="s">
        <v>193</v>
      </c>
      <c r="B24" s="118"/>
      <c r="C24" s="106"/>
      <c r="D24" s="106"/>
      <c r="E24" s="106"/>
      <c r="F24" s="105"/>
      <c r="G24" s="108" t="s">
        <v>194</v>
      </c>
      <c r="H24" s="109"/>
      <c r="I24" s="106"/>
      <c r="J24" s="106"/>
      <c r="K24" s="110"/>
      <c r="L24" s="106"/>
      <c r="M24" s="106"/>
      <c r="N24" s="56"/>
      <c r="O24" s="111" t="s">
        <v>194</v>
      </c>
    </row>
    <row r="25" spans="1:15">
      <c r="A25" s="102" t="s">
        <v>195</v>
      </c>
      <c r="B25" s="118"/>
      <c r="C25" s="106"/>
      <c r="D25" s="106"/>
      <c r="E25" s="106"/>
      <c r="F25" s="105"/>
      <c r="G25" s="108" t="s">
        <v>196</v>
      </c>
      <c r="H25" s="109"/>
      <c r="I25" s="106"/>
      <c r="J25" s="106"/>
      <c r="K25" s="110"/>
      <c r="L25" s="106"/>
      <c r="M25" s="106"/>
      <c r="N25" s="56"/>
      <c r="O25" s="111" t="s">
        <v>196</v>
      </c>
    </row>
    <row r="26" spans="1:15">
      <c r="A26" s="102" t="s">
        <v>197</v>
      </c>
      <c r="B26" s="118"/>
      <c r="C26" s="106"/>
      <c r="D26" s="106"/>
      <c r="E26" s="106"/>
      <c r="F26" s="105"/>
      <c r="G26" s="108" t="s">
        <v>198</v>
      </c>
      <c r="H26" s="109"/>
      <c r="I26" s="106"/>
      <c r="J26" s="106"/>
      <c r="K26" s="110"/>
      <c r="L26" s="106"/>
      <c r="M26" s="106"/>
      <c r="N26" s="56"/>
      <c r="O26" s="111" t="s">
        <v>198</v>
      </c>
    </row>
    <row r="27" spans="1:15" ht="44.25">
      <c r="A27" s="102" t="s">
        <v>199</v>
      </c>
      <c r="B27" s="118"/>
      <c r="C27" s="106"/>
      <c r="D27" s="106"/>
      <c r="E27" s="106"/>
      <c r="F27" s="105"/>
      <c r="G27" s="108" t="s">
        <v>200</v>
      </c>
      <c r="H27" s="109"/>
      <c r="I27" s="106"/>
      <c r="J27" s="106"/>
      <c r="K27" s="110"/>
      <c r="L27" s="106"/>
      <c r="M27" s="56"/>
      <c r="N27" s="56"/>
      <c r="O27" s="111" t="s">
        <v>201</v>
      </c>
    </row>
    <row r="28" spans="1:15">
      <c r="A28" s="102" t="s">
        <v>202</v>
      </c>
      <c r="B28" s="118"/>
      <c r="C28" s="106"/>
      <c r="D28" s="106"/>
      <c r="E28" s="106"/>
      <c r="F28" s="105"/>
      <c r="G28" s="108" t="s">
        <v>203</v>
      </c>
      <c r="H28" s="109"/>
      <c r="I28" s="106"/>
      <c r="J28" s="106"/>
      <c r="K28" s="110"/>
      <c r="L28" s="106"/>
      <c r="M28" s="56"/>
      <c r="N28" s="56"/>
      <c r="O28" s="111" t="s">
        <v>203</v>
      </c>
    </row>
    <row r="29" spans="1:15">
      <c r="A29" s="102" t="s">
        <v>204</v>
      </c>
      <c r="B29" s="118"/>
      <c r="C29" s="106"/>
      <c r="D29" s="106"/>
      <c r="E29" s="106"/>
      <c r="F29" s="105"/>
      <c r="G29" s="108" t="s">
        <v>205</v>
      </c>
      <c r="H29" s="109"/>
      <c r="I29" s="106"/>
      <c r="J29" s="106"/>
      <c r="K29" s="110"/>
      <c r="L29" s="106"/>
      <c r="M29" s="56"/>
      <c r="N29" s="56"/>
      <c r="O29" s="111" t="s">
        <v>205</v>
      </c>
    </row>
    <row r="30" spans="1:15">
      <c r="A30" s="102" t="s">
        <v>206</v>
      </c>
      <c r="B30" s="118"/>
      <c r="C30" s="106"/>
      <c r="D30" s="106"/>
      <c r="E30" s="106"/>
      <c r="F30" s="105"/>
      <c r="G30" s="108" t="s">
        <v>207</v>
      </c>
      <c r="H30" s="109"/>
      <c r="I30" s="106"/>
      <c r="J30" s="106"/>
      <c r="K30" s="110"/>
      <c r="L30" s="106"/>
      <c r="M30" s="56"/>
      <c r="N30" s="56"/>
      <c r="O30" s="111" t="s">
        <v>207</v>
      </c>
    </row>
    <row r="31" spans="1:15">
      <c r="A31" s="102" t="s">
        <v>208</v>
      </c>
      <c r="B31" s="118"/>
      <c r="C31" s="106"/>
      <c r="D31" s="106"/>
      <c r="E31" s="106"/>
      <c r="F31" s="105"/>
      <c r="G31" s="108" t="s">
        <v>209</v>
      </c>
      <c r="H31" s="109"/>
      <c r="I31" s="106"/>
      <c r="J31" s="106"/>
      <c r="K31" s="110"/>
      <c r="L31" s="106"/>
      <c r="M31" s="56"/>
      <c r="N31" s="56"/>
      <c r="O31" s="111" t="s">
        <v>209</v>
      </c>
    </row>
    <row r="32" spans="1:15">
      <c r="A32" s="102" t="s">
        <v>210</v>
      </c>
      <c r="B32" s="118"/>
      <c r="C32" s="106"/>
      <c r="D32" s="106"/>
      <c r="E32" s="106"/>
      <c r="F32" s="105"/>
      <c r="G32" s="108" t="s">
        <v>211</v>
      </c>
      <c r="H32" s="109"/>
      <c r="I32" s="106"/>
      <c r="J32" s="106"/>
      <c r="K32" s="110"/>
      <c r="L32" s="106"/>
      <c r="M32" s="56"/>
      <c r="N32" s="56"/>
      <c r="O32" s="111" t="s">
        <v>211</v>
      </c>
    </row>
    <row r="33" spans="1:15">
      <c r="A33" s="102" t="s">
        <v>212</v>
      </c>
      <c r="B33" s="118"/>
      <c r="C33" s="106"/>
      <c r="D33" s="106"/>
      <c r="E33" s="106"/>
      <c r="F33" s="105"/>
      <c r="G33" s="108" t="s">
        <v>213</v>
      </c>
      <c r="H33" s="109"/>
      <c r="I33" s="106"/>
      <c r="J33" s="106"/>
      <c r="K33" s="110"/>
      <c r="L33" s="106"/>
      <c r="M33" s="56"/>
      <c r="N33" s="56"/>
      <c r="O33" s="111" t="s">
        <v>213</v>
      </c>
    </row>
    <row r="34" spans="1:15">
      <c r="A34" s="102" t="s">
        <v>214</v>
      </c>
      <c r="B34" s="118"/>
      <c r="C34" s="106"/>
      <c r="D34" s="106"/>
      <c r="E34" s="106"/>
      <c r="F34" s="105"/>
      <c r="G34" s="108" t="s">
        <v>215</v>
      </c>
      <c r="H34" s="109"/>
      <c r="I34" s="106"/>
      <c r="J34" s="106"/>
      <c r="K34" s="110"/>
      <c r="L34" s="106"/>
      <c r="M34" s="56"/>
      <c r="N34" s="56"/>
      <c r="O34" s="111" t="s">
        <v>215</v>
      </c>
    </row>
    <row r="35" spans="1:15" ht="29.25">
      <c r="A35" s="102" t="s">
        <v>216</v>
      </c>
      <c r="B35" s="118"/>
      <c r="C35" s="106"/>
      <c r="D35" s="106"/>
      <c r="E35" s="106"/>
      <c r="F35" s="105"/>
      <c r="G35" s="108" t="s">
        <v>217</v>
      </c>
      <c r="H35" s="109"/>
      <c r="I35" s="106"/>
      <c r="J35" s="106"/>
      <c r="K35" s="110"/>
      <c r="L35" s="106"/>
      <c r="M35" s="56"/>
      <c r="N35" s="56"/>
      <c r="O35" s="111" t="s">
        <v>217</v>
      </c>
    </row>
    <row r="36" spans="1:15">
      <c r="A36" s="102" t="s">
        <v>218</v>
      </c>
      <c r="B36" s="118"/>
      <c r="C36" s="106"/>
      <c r="D36" s="106"/>
      <c r="E36" s="106"/>
      <c r="F36" s="105"/>
      <c r="G36" s="108" t="s">
        <v>219</v>
      </c>
      <c r="H36" s="108"/>
      <c r="I36" s="106"/>
      <c r="J36" s="106"/>
      <c r="K36" s="110"/>
      <c r="L36" s="106"/>
      <c r="M36" s="56"/>
      <c r="N36" s="56"/>
      <c r="O36" s="111" t="s">
        <v>219</v>
      </c>
    </row>
    <row r="37" spans="1:15">
      <c r="A37" s="102" t="s">
        <v>220</v>
      </c>
      <c r="B37" s="118"/>
      <c r="C37" s="106"/>
      <c r="D37" s="106"/>
      <c r="E37" s="106"/>
      <c r="F37" s="105"/>
      <c r="G37" s="108" t="s">
        <v>221</v>
      </c>
      <c r="H37" s="109"/>
      <c r="I37" s="106"/>
      <c r="J37" s="106"/>
      <c r="K37" s="110"/>
      <c r="L37" s="106"/>
      <c r="M37" s="56"/>
      <c r="N37" s="56"/>
      <c r="O37" s="111" t="s">
        <v>221</v>
      </c>
    </row>
    <row r="38" spans="1:15">
      <c r="A38" s="102" t="s">
        <v>222</v>
      </c>
      <c r="B38" s="118"/>
      <c r="C38" s="106"/>
      <c r="D38" s="106"/>
      <c r="E38" s="106"/>
      <c r="F38" s="105"/>
      <c r="G38" s="108" t="s">
        <v>223</v>
      </c>
      <c r="H38" s="109"/>
      <c r="I38" s="106"/>
      <c r="J38" s="106"/>
      <c r="K38" s="110"/>
      <c r="L38" s="106"/>
      <c r="M38" s="56"/>
      <c r="N38" s="56"/>
      <c r="O38" s="111" t="s">
        <v>223</v>
      </c>
    </row>
    <row r="39" spans="1:15">
      <c r="A39" s="102" t="s">
        <v>224</v>
      </c>
      <c r="B39" s="118"/>
      <c r="C39" s="106"/>
      <c r="D39" s="106"/>
      <c r="E39" s="106"/>
      <c r="F39" s="105"/>
      <c r="G39" s="106" t="s">
        <v>225</v>
      </c>
      <c r="H39" s="109"/>
      <c r="I39" s="106"/>
      <c r="J39" s="106"/>
      <c r="K39" s="110"/>
      <c r="L39" s="106"/>
      <c r="M39" s="56"/>
      <c r="N39" s="56"/>
      <c r="O39" s="106" t="s">
        <v>226</v>
      </c>
    </row>
    <row r="40" spans="1:15">
      <c r="A40" s="102" t="s">
        <v>227</v>
      </c>
      <c r="B40" s="118"/>
      <c r="C40" s="106"/>
      <c r="D40" s="106"/>
      <c r="E40" s="106"/>
      <c r="F40" s="105"/>
      <c r="G40" s="106"/>
      <c r="H40" s="109"/>
      <c r="I40" s="106"/>
      <c r="J40" s="106"/>
      <c r="K40" s="110"/>
      <c r="L40" s="106"/>
      <c r="M40" s="56"/>
      <c r="N40" s="56"/>
      <c r="O40" s="106" t="s">
        <v>225</v>
      </c>
    </row>
    <row r="41" spans="1:15">
      <c r="A41" s="102" t="s">
        <v>228</v>
      </c>
      <c r="B41" s="118"/>
      <c r="C41" s="106"/>
      <c r="D41" s="106"/>
      <c r="E41" s="106"/>
      <c r="F41" s="105"/>
      <c r="G41" s="106"/>
      <c r="H41" s="109"/>
      <c r="I41" s="106"/>
      <c r="J41" s="106"/>
      <c r="K41" s="110"/>
      <c r="L41" s="106"/>
      <c r="M41" s="56"/>
      <c r="N41" s="56"/>
      <c r="O41" s="56"/>
    </row>
    <row r="42" spans="1:15">
      <c r="A42" s="102" t="s">
        <v>229</v>
      </c>
      <c r="B42" s="118"/>
      <c r="C42" s="106"/>
      <c r="D42" s="106"/>
      <c r="E42" s="106"/>
      <c r="F42" s="105"/>
      <c r="G42" s="106"/>
      <c r="H42" s="109"/>
      <c r="I42" s="106"/>
      <c r="J42" s="106"/>
      <c r="K42" s="110"/>
      <c r="L42" s="106"/>
      <c r="M42" s="56"/>
      <c r="N42" s="56"/>
      <c r="O42" s="56"/>
    </row>
    <row r="43" spans="1:15">
      <c r="A43" s="102" t="s">
        <v>230</v>
      </c>
      <c r="B43" s="118"/>
      <c r="C43" s="106"/>
      <c r="D43" s="106"/>
      <c r="E43" s="106"/>
      <c r="F43" s="105"/>
      <c r="G43" s="106"/>
      <c r="H43" s="109"/>
      <c r="I43" s="106"/>
      <c r="J43" s="106"/>
      <c r="K43" s="110"/>
      <c r="L43" s="106"/>
      <c r="M43" s="56"/>
      <c r="N43" s="56"/>
      <c r="O43" s="56"/>
    </row>
    <row r="44" spans="1:15">
      <c r="A44" s="102" t="s">
        <v>231</v>
      </c>
      <c r="B44" s="118"/>
      <c r="C44" s="106"/>
      <c r="D44" s="106"/>
      <c r="E44" s="106"/>
      <c r="F44" s="105"/>
      <c r="G44" s="106"/>
      <c r="H44" s="109"/>
      <c r="I44" s="106"/>
      <c r="J44" s="106"/>
      <c r="K44" s="110"/>
      <c r="L44" s="106"/>
      <c r="M44" s="56"/>
      <c r="N44" s="56"/>
      <c r="O44" s="56"/>
    </row>
    <row r="45" spans="1:15">
      <c r="A45" s="102" t="s">
        <v>232</v>
      </c>
      <c r="B45" s="118"/>
      <c r="C45" s="106"/>
      <c r="D45" s="106"/>
      <c r="E45" s="106"/>
      <c r="F45" s="105"/>
      <c r="G45" s="106"/>
      <c r="H45" s="109"/>
      <c r="I45" s="106"/>
      <c r="J45" s="106"/>
      <c r="K45" s="110"/>
      <c r="L45" s="106"/>
      <c r="M45" s="56"/>
      <c r="N45" s="56"/>
      <c r="O45" s="56"/>
    </row>
    <row r="46" spans="1:15">
      <c r="A46" s="102" t="s">
        <v>233</v>
      </c>
      <c r="B46" s="118"/>
      <c r="C46" s="106"/>
      <c r="D46" s="106"/>
      <c r="E46" s="106"/>
      <c r="F46" s="105"/>
      <c r="G46" s="106"/>
      <c r="H46" s="109"/>
      <c r="I46" s="106"/>
      <c r="J46" s="106"/>
      <c r="K46" s="110"/>
      <c r="L46" s="106"/>
      <c r="M46" s="56"/>
      <c r="N46" s="56"/>
      <c r="O46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Shalibhadra Metal Corporation</dc:creator>
  <cp:keywords/>
  <dc:description/>
  <cp:lastModifiedBy/>
  <cp:revision/>
  <dcterms:created xsi:type="dcterms:W3CDTF">2025-06-14T00:58:56Z</dcterms:created>
  <dcterms:modified xsi:type="dcterms:W3CDTF">2025-06-17T09:58:24Z</dcterms:modified>
  <cp:category/>
  <cp:contentStatus/>
</cp:coreProperties>
</file>