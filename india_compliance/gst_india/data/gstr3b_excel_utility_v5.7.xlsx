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STR-3B" sheetId="1" state="visible" r:id="rId1"/>
    <sheet name="Sheet1" sheetId="2" state="hidden" r:id="rId2"/>
    <sheet name="Master" sheetId="3" state="hidden" r:id="rId3"/>
  </sheets>
  <externalReferences>
    <externalReference r:id="rId4"/>
  </externalReferences>
  <definedNames>
    <definedName name="disable3.2" hidden="0" function="0" vbProcedure="0">'GSTR-3B'!$B$88:$H$124</definedName>
    <definedName name="EcoSuppliesRange" hidden="0" function="0" vbProcedure="0">'GSTR-3B'!$D$22,'GSTR-3B'!$C$22,'GSTR-3B'!$E$22,'GSTR-3B'!$F$22,'GSTR-3B'!$G$22,'GSTR-3B'!$C$23</definedName>
    <definedName name="ExemptNilRatedRange" hidden="0" function="0" vbProcedure="0">'GSTR-3B'!$D$48,'GSTR-3B'!$E$48,'GSTR-3B'!$D$49,'GSTR-3B'!$E$49</definedName>
    <definedName name="InterestRange" hidden="0" function="0" vbProcedure="0">'GSTR-3B'!$C$65:$F$65</definedName>
    <definedName name="InterStateSuppliesValuesRange" hidden="0" function="0" vbProcedure="0">'GSTR-3B'!$C$88:$H$124</definedName>
    <definedName name="ITCRange" hidden="0" function="0" vbProcedure="0">'GSTR-3B'!$C$31,'GSTR-3B'!$C$32,'GSTR-3B'!$C$33,'GSTR-3B'!$C$34,'GSTR-3B'!$C$35,'GSTR-3B'!$D$33,'GSTR-3B'!$D$34,'GSTR-3B'!$D$35,'GSTR-3B'!$E$33,'GSTR-3B'!$E$34,'GSTR-3B'!$E$35,'GSTR-3B'!$F$31,'GSTR-3B'!$F$32,'GSTR-3B'!$F$33,'GSTR-3B'!$F$34,'GSTR-3B'!$F$35,'GSTR-3B'!$C$37,'GSTR-3B'!$C$38,'GSTR-3B'!$D$37,'GSTR-3B'!$D$38,'GSTR-3B'!$E$37,'GSTR-3B'!$E$38,'GSTR-3B'!$F$37,'GSTR-3B'!$F$38,'GSTR-3B'!$C$41,'GSTR-3B'!$C$42,'GSTR-3B'!$D$41,'GSTR-3B'!$D$42,'GSTR-3B'!$E$41,'GSTR-3B'!$E$42,'GSTR-3B'!$F$41,'GSTR-3B'!$F$42</definedName>
    <definedName name="OutwardInwardSuppliesRange" hidden="0" function="0" vbProcedure="0">'GSTR-3B'!$C$11,'GSTR-3B'!$D$11,'GSTR-3B'!$E$11,'GSTR-3B'!$F$11,'GSTR-3B'!$G$11,'GSTR-3B'!$C$12,'GSTR-3B'!$D$12,'GSTR-3B'!$G$12,'GSTR-3B'!$C$13,'GSTR-3B'!$C$14,'GSTR-3B'!$D$14,'GSTR-3B'!$E$14,'GSTR-3B'!$F$14,'GSTR-3B'!$G$14,'GSTR-3B'!$C$15</definedName>
    <definedName name="StatesAndUT" hidden="0" function="0" vbProcedure="0">OFFSET(Master!$C$2,0,0,COUNT(Master!$B$2:$B$39),1)</definedName>
    <definedName name="StateUTRange" hidden="0" function="0" vbProcedure="0">'GSTR-3B'!$B$88:$B$124</definedName>
    <definedName name="greyout3.2fields" localSheetId="0" hidden="0" function="0" vbProcedure="0">'GSTR-3B'!$C$88:$H$124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₹-4009]\ #,##0.00"/>
  </numFmts>
  <fonts count="3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22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FFFFFF"/>
      <sz val="11"/>
    </font>
    <font>
      <name val="Calibri Light"/>
      <charset val="1"/>
      <family val="2"/>
      <color rgb="FF000000"/>
      <sz val="12"/>
    </font>
    <font>
      <name val="Calibri Light"/>
      <charset val="1"/>
      <family val="2"/>
      <b val="1"/>
      <color rgb="FF203864"/>
      <sz val="24"/>
    </font>
    <font>
      <name val="Calibri Light"/>
      <charset val="1"/>
      <family val="2"/>
      <b val="1"/>
      <color rgb="FF203864"/>
      <sz val="14"/>
    </font>
    <font>
      <name val="Calibri Light"/>
      <charset val="1"/>
      <family val="2"/>
      <b val="1"/>
      <color rgb="FF7030A0"/>
      <sz val="12"/>
    </font>
    <font>
      <name val="Calibri Light"/>
      <charset val="1"/>
      <family val="2"/>
      <b val="1"/>
      <i val="1"/>
      <sz val="12"/>
    </font>
    <font>
      <name val="Calibri Light"/>
      <charset val="1"/>
      <family val="2"/>
      <i val="1"/>
      <color rgb="FF000000"/>
      <sz val="12"/>
    </font>
    <font>
      <name val="Calibri Light"/>
      <charset val="1"/>
      <family val="2"/>
      <b val="1"/>
      <i val="1"/>
      <color rgb="FF000000"/>
      <sz val="14"/>
    </font>
    <font>
      <name val="Calibri Light"/>
      <charset val="1"/>
      <family val="2"/>
      <i val="1"/>
      <color rgb="FF000000"/>
      <sz val="14"/>
    </font>
    <font>
      <name val="Calibri Light"/>
      <charset val="1"/>
      <family val="2"/>
      <b val="1"/>
      <color rgb="FF000000"/>
      <sz val="14"/>
    </font>
    <font>
      <name val="Calibri Light"/>
      <charset val="1"/>
      <family val="2"/>
      <b val="1"/>
      <i val="1"/>
      <sz val="13"/>
    </font>
    <font>
      <name val="Calibri Light"/>
      <charset val="1"/>
      <family val="2"/>
      <color rgb="FFFFFFFF"/>
      <sz val="12"/>
    </font>
    <font>
      <name val="Calibri Light"/>
      <charset val="1"/>
      <family val="2"/>
      <b val="1"/>
      <color rgb="FF0D0D0D"/>
      <sz val="12"/>
    </font>
    <font>
      <name val="Calibri Light"/>
      <charset val="1"/>
      <family val="2"/>
      <b val="1"/>
      <i val="1"/>
      <color rgb="FF000000"/>
      <sz val="13"/>
    </font>
    <font>
      <name val="Calibri Light"/>
      <charset val="1"/>
      <family val="2"/>
      <color rgb="FFFF0000"/>
      <sz val="12"/>
    </font>
    <font>
      <name val="Calibri Light"/>
      <charset val="1"/>
      <family val="2"/>
      <b val="1"/>
      <color rgb="FF000000"/>
      <sz val="12"/>
    </font>
    <font>
      <name val="Calibri Light"/>
      <charset val="1"/>
      <family val="2"/>
      <b val="1"/>
      <i val="1"/>
      <color rgb="FFFFFFFF"/>
      <sz val="13"/>
    </font>
    <font>
      <name val="Calibri Light"/>
      <charset val="1"/>
      <family val="2"/>
      <sz val="12"/>
    </font>
    <font>
      <name val="Calibri Light"/>
      <charset val="1"/>
      <family val="2"/>
      <color rgb="FFBFBFBF"/>
      <sz val="12"/>
    </font>
    <font>
      <name val="Calibri Light"/>
      <charset val="1"/>
      <family val="2"/>
      <b val="1"/>
      <sz val="14"/>
    </font>
    <font>
      <name val="Calibri Light"/>
      <charset val="1"/>
      <family val="2"/>
      <b val="1"/>
      <color rgb="FFFFFFFF"/>
      <sz val="12"/>
    </font>
    <font>
      <name val="Calibri Light"/>
      <charset val="1"/>
      <family val="2"/>
      <b val="1"/>
      <color rgb="FF2B0749"/>
      <sz val="12"/>
    </font>
    <font>
      <name val="Calibri Light"/>
      <charset val="1"/>
      <family val="2"/>
      <i val="1"/>
      <color rgb="FFFF0000"/>
      <sz val="14"/>
    </font>
    <font>
      <name val="Calibri Light"/>
      <charset val="1"/>
      <family val="2"/>
      <b val="1"/>
      <i val="1"/>
      <sz val="14"/>
    </font>
    <font>
      <name val="Bookman Old Style"/>
      <charset val="1"/>
      <family val="1"/>
      <b val="1"/>
      <color rgb="FF000000"/>
      <sz val="12"/>
    </font>
    <font>
      <name val="Calibri Light"/>
      <family val="0"/>
      <b val="1"/>
      <color rgb="FFE7E6E6"/>
      <sz val="13"/>
    </font>
    <font>
      <name val="Calibri"/>
      <charset val="1"/>
      <family val="2"/>
      <color rgb="FFFF0000"/>
      <sz val="11"/>
    </font>
    <font>
      <name val="Times New Roman"/>
      <charset val="1"/>
      <family val="1"/>
      <b val="1"/>
      <color rgb="FF000000"/>
      <sz val="11"/>
    </font>
    <font>
      <name val="Times New Roman"/>
      <charset val="1"/>
      <family val="1"/>
      <color rgb="FF000000"/>
      <sz val="11"/>
    </font>
  </fonts>
  <fills count="25">
    <fill>
      <patternFill/>
    </fill>
    <fill>
      <patternFill patternType="gray125"/>
    </fill>
    <fill>
      <patternFill patternType="solid">
        <fgColor rgb="FF5B9BD5"/>
        <bgColor rgb="FF808080"/>
      </patternFill>
    </fill>
    <fill>
      <patternFill patternType="solid">
        <fgColor rgb="FFDAE3F3"/>
        <bgColor rgb="FFE7E6E6"/>
      </patternFill>
    </fill>
    <fill>
      <patternFill patternType="solid">
        <fgColor rgb="FFFFE699"/>
        <bgColor rgb="FFFAE1BC"/>
      </patternFill>
    </fill>
    <fill>
      <patternFill patternType="solid">
        <fgColor rgb="FFFFFFFF"/>
        <bgColor rgb="FFF2F2F2"/>
      </patternFill>
    </fill>
    <fill>
      <patternFill patternType="solid">
        <fgColor rgb="FFB4C7E7"/>
        <bgColor rgb="FFBDD7EE"/>
      </patternFill>
    </fill>
    <fill>
      <patternFill patternType="solid">
        <fgColor rgb="FFF4B183"/>
        <bgColor rgb="FFBFBFBF"/>
      </patternFill>
    </fill>
    <fill>
      <patternFill patternType="solid">
        <fgColor rgb="FFC55A11"/>
        <bgColor rgb="FF8F5303"/>
      </patternFill>
    </fill>
    <fill>
      <patternFill patternType="solid">
        <fgColor rgb="FFFBE5D6"/>
        <bgColor rgb="FFFAE1BC"/>
      </patternFill>
    </fill>
    <fill>
      <patternFill patternType="solid">
        <fgColor rgb="FFF2F2F2"/>
        <bgColor rgb="FFE7E6E6"/>
      </patternFill>
    </fill>
    <fill>
      <patternFill patternType="solid">
        <fgColor rgb="FF1F4E79"/>
        <bgColor rgb="FF203864"/>
      </patternFill>
    </fill>
    <fill>
      <patternFill patternType="solid">
        <fgColor rgb="FF222A35"/>
        <bgColor rgb="FF203864"/>
      </patternFill>
    </fill>
    <fill>
      <patternFill patternType="solid">
        <fgColor rgb="FFC6D1FE"/>
        <bgColor rgb="FFBDD7EE"/>
      </patternFill>
    </fill>
    <fill>
      <patternFill patternType="solid">
        <fgColor rgb="FFBF9000"/>
        <bgColor rgb="FFC55A11"/>
      </patternFill>
    </fill>
    <fill>
      <patternFill patternType="solid">
        <fgColor rgb="FFFFF2CC"/>
        <bgColor rgb="FFFBE5D6"/>
      </patternFill>
    </fill>
    <fill>
      <patternFill patternType="solid">
        <fgColor rgb="FF8F5303"/>
        <bgColor rgb="FF843C0B"/>
      </patternFill>
    </fill>
    <fill>
      <patternFill patternType="solid">
        <fgColor rgb="FF843C0B"/>
        <bgColor rgb="FF8F5303"/>
      </patternFill>
    </fill>
    <fill>
      <patternFill patternType="solid">
        <fgColor rgb="FFFAE1BC"/>
        <bgColor rgb="FFFBE5D6"/>
      </patternFill>
    </fill>
    <fill>
      <patternFill patternType="solid">
        <fgColor rgb="FFB3A3E1"/>
        <bgColor rgb="FFBFBFBF"/>
      </patternFill>
    </fill>
    <fill>
      <patternFill patternType="solid">
        <fgColor rgb="FF7030A0"/>
        <bgColor rgb="FF800080"/>
      </patternFill>
    </fill>
    <fill>
      <patternFill patternType="solid">
        <fgColor rgb="FFBDD7EE"/>
        <bgColor rgb="FFC6D1FE"/>
      </patternFill>
    </fill>
    <fill>
      <patternFill patternType="solid">
        <fgColor rgb="FFA9D18E"/>
        <bgColor rgb="FFBFBFBF"/>
      </patternFill>
    </fill>
    <fill>
      <patternFill patternType="solid">
        <fgColor rgb="FF548235"/>
        <bgColor rgb="FF339966"/>
      </patternFill>
    </fill>
    <fill>
      <patternFill patternType="solid">
        <fgColor rgb="FFE2F0D9"/>
        <bgColor rgb="FFE7E6E6"/>
      </patternFill>
    </fill>
  </fills>
  <borders count="1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double">
        <color rgb="FF203864"/>
      </bottom>
      <diagonal/>
    </border>
    <border>
      <left/>
      <right/>
      <top style="medium"/>
      <bottom style="double">
        <color rgb="FF203864"/>
      </bottom>
      <diagonal/>
    </border>
    <border>
      <left style="thin"/>
      <right style="thin"/>
      <top style="medium"/>
      <bottom style="double">
        <color rgb="FF203864"/>
      </bottom>
      <diagonal/>
    </border>
    <border>
      <left style="medium">
        <color rgb="FF203864"/>
      </left>
      <right style="medium">
        <color rgb="FF203864"/>
      </right>
      <top style="medium">
        <color rgb="FF203864"/>
      </top>
      <bottom style="medium">
        <color rgb="FF203864"/>
      </bottom>
      <diagonal/>
    </border>
    <border>
      <left style="medium"/>
      <right style="thin"/>
      <top style="double">
        <color rgb="FF203864"/>
      </top>
      <bottom style="medium"/>
      <diagonal/>
    </border>
    <border>
      <left/>
      <right/>
      <top/>
      <bottom style="medium"/>
      <diagonal/>
    </border>
    <border>
      <left style="thin"/>
      <right style="thin"/>
      <top style="double">
        <color rgb="FF203864"/>
      </top>
      <bottom style="medium"/>
      <diagonal/>
    </border>
    <border>
      <left style="medium"/>
      <right style="medium"/>
      <top style="medium"/>
      <bottom style="medium">
        <color rgb="FF203864"/>
      </bottom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>
        <color rgb="FF222A35"/>
      </left>
      <right style="medium"/>
      <top style="medium">
        <color rgb="FF222A35"/>
      </top>
      <bottom style="medium">
        <color rgb="FF222A35"/>
      </bottom>
      <diagonal/>
    </border>
    <border>
      <left/>
      <right style="medium"/>
      <top style="medium">
        <color rgb="FF222A35"/>
      </top>
      <bottom style="medium">
        <color rgb="FF222A35"/>
      </bottom>
      <diagonal/>
    </border>
    <border>
      <left/>
      <right style="medium">
        <color rgb="FF222A35"/>
      </right>
      <top style="medium">
        <color rgb="FF222A35"/>
      </top>
      <bottom style="medium">
        <color rgb="FF222A35"/>
      </bottom>
      <diagonal/>
    </border>
    <border>
      <left style="medium">
        <color rgb="FF222A35"/>
      </left>
      <right/>
      <top/>
      <bottom style="thin">
        <color rgb="FF203864"/>
      </bottom>
      <diagonal/>
    </border>
    <border>
      <left style="thin">
        <color rgb="FF222A35"/>
      </left>
      <right style="thin">
        <color rgb="FF222A35"/>
      </right>
      <top/>
      <bottom style="thin">
        <color rgb="FF222A35"/>
      </bottom>
      <diagonal/>
    </border>
    <border>
      <left style="thin">
        <color rgb="FF222A35"/>
      </left>
      <right style="thin">
        <color rgb="FF222A35"/>
      </right>
      <top/>
      <bottom/>
      <diagonal/>
    </border>
    <border>
      <left style="medium">
        <color rgb="FF222A35"/>
      </left>
      <right/>
      <top style="thin">
        <color rgb="FF203864"/>
      </top>
      <bottom style="thin">
        <color rgb="FF203864"/>
      </bottom>
      <diagonal/>
    </border>
    <border>
      <left style="thin">
        <color rgb="FF222A35"/>
      </left>
      <right style="thin">
        <color rgb="FF222A35"/>
      </right>
      <top style="thin">
        <color rgb="FF222A35"/>
      </top>
      <bottom/>
      <diagonal/>
    </border>
    <border>
      <left style="thin">
        <color rgb="FF222A35"/>
      </left>
      <right style="medium">
        <color rgb="FF222A35"/>
      </right>
      <top style="thin">
        <color rgb="FF222A35"/>
      </top>
      <bottom style="thin">
        <color rgb="FF222A35"/>
      </bottom>
      <diagonal/>
    </border>
    <border>
      <left style="thin">
        <color rgb="FF222A35"/>
      </left>
      <right style="thin">
        <color rgb="FF222A35"/>
      </right>
      <top style="thin">
        <color rgb="FF222A35"/>
      </top>
      <bottom style="thin">
        <color rgb="FF222A35"/>
      </bottom>
      <diagonal/>
    </border>
    <border>
      <left style="medium">
        <color rgb="FF222A35"/>
      </left>
      <right/>
      <top style="thin">
        <color rgb="FF203864"/>
      </top>
      <bottom/>
      <diagonal/>
    </border>
    <border>
      <left style="thin">
        <color rgb="FF222A35"/>
      </left>
      <right style="medium">
        <color rgb="FF222A35"/>
      </right>
      <top style="thin">
        <color rgb="FF222A35"/>
      </top>
      <bottom style="medium">
        <color rgb="FF222A35"/>
      </bottom>
      <diagonal/>
    </border>
    <border>
      <left style="medium">
        <color rgb="FF222A35"/>
      </left>
      <right/>
      <top style="medium">
        <color rgb="FF222A35"/>
      </top>
      <bottom style="medium">
        <color rgb="FF222A35"/>
      </bottom>
      <diagonal/>
    </border>
    <border>
      <left style="medium"/>
      <right style="thin">
        <color rgb="FF203864"/>
      </right>
      <top style="medium">
        <color rgb="FF222A35"/>
      </top>
      <bottom style="medium">
        <color rgb="FF222A35"/>
      </bottom>
      <diagonal/>
    </border>
    <border>
      <left style="thin">
        <color rgb="FF203864"/>
      </left>
      <right style="thin">
        <color rgb="FF203864"/>
      </right>
      <top style="medium">
        <color rgb="FF222A35"/>
      </top>
      <bottom style="medium">
        <color rgb="FF222A35"/>
      </bottom>
      <diagonal/>
    </border>
    <border>
      <left style="thin">
        <color rgb="FF203864"/>
      </left>
      <right style="medium">
        <color rgb="FF222A35"/>
      </right>
      <top style="medium">
        <color rgb="FF222A35"/>
      </top>
      <bottom style="medium">
        <color rgb="FF222A35"/>
      </bottom>
      <diagonal/>
    </border>
    <border>
      <left style="medium"/>
      <right/>
      <top style="medium">
        <color rgb="FF222A35"/>
      </top>
      <bottom style="medium">
        <color rgb="FF222A35"/>
      </bottom>
      <diagonal/>
    </border>
    <border>
      <left/>
      <right style="medium"/>
      <top style="medium"/>
      <bottom style="medium"/>
      <diagonal/>
    </border>
    <border>
      <left style="medium"/>
      <right style="medium">
        <color rgb="FF203864"/>
      </right>
      <top/>
      <bottom style="thin">
        <color rgb="FF203864"/>
      </bottom>
      <diagonal/>
    </border>
    <border>
      <left/>
      <right style="thin">
        <color rgb="FF203864"/>
      </right>
      <top/>
      <bottom style="thin">
        <color rgb="FF203864"/>
      </bottom>
      <diagonal/>
    </border>
    <border>
      <left style="thin">
        <color rgb="FF203864"/>
      </left>
      <right style="thin">
        <color rgb="FF203864"/>
      </right>
      <top/>
      <bottom style="thin">
        <color rgb="FF203864"/>
      </bottom>
      <diagonal/>
    </border>
    <border>
      <left style="thin">
        <color rgb="FF203864"/>
      </left>
      <right style="medium"/>
      <top/>
      <bottom style="thin">
        <color rgb="FF203864"/>
      </bottom>
      <diagonal/>
    </border>
    <border>
      <left style="medium"/>
      <right style="medium">
        <color rgb="FF203864"/>
      </right>
      <top style="thin">
        <color rgb="FF203864"/>
      </top>
      <bottom style="thin">
        <color rgb="FF203864"/>
      </bottom>
      <diagonal/>
    </border>
    <border>
      <left/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thin">
        <color rgb="FF203864"/>
      </left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medium"/>
      <right style="medium">
        <color rgb="FF203864"/>
      </right>
      <top style="thin">
        <color rgb="FF203864"/>
      </top>
      <bottom style="medium"/>
      <diagonal/>
    </border>
    <border>
      <left style="medium"/>
      <right style="medium">
        <color rgb="FF203864"/>
      </right>
      <top style="medium"/>
      <bottom style="thin">
        <color rgb="FF203864"/>
      </bottom>
      <diagonal/>
    </border>
    <border>
      <left/>
      <right style="thin">
        <color rgb="FF203864"/>
      </right>
      <top style="medium"/>
      <bottom style="thin">
        <color rgb="FF203864"/>
      </bottom>
      <diagonal/>
    </border>
    <border>
      <left style="thin">
        <color rgb="FF203864"/>
      </left>
      <right style="thin">
        <color rgb="FF203864"/>
      </right>
      <top style="medium"/>
      <bottom style="thin">
        <color rgb="FF203864"/>
      </bottom>
      <diagonal/>
    </border>
    <border>
      <left style="thin">
        <color rgb="FF203864"/>
      </left>
      <right style="medium"/>
      <top style="medium"/>
      <bottom style="thin">
        <color rgb="FF203864"/>
      </bottom>
      <diagonal/>
    </border>
    <border>
      <left style="medium"/>
      <right style="medium">
        <color rgb="FF203864"/>
      </right>
      <top style="thin">
        <color rgb="FF203864"/>
      </top>
      <bottom style="medium">
        <color rgb="FF203864"/>
      </bottom>
      <diagonal/>
    </border>
    <border>
      <left style="medium"/>
      <right style="medium">
        <color rgb="FF203864"/>
      </right>
      <top style="medium">
        <color rgb="FF203864"/>
      </top>
      <bottom style="medium">
        <color rgb="FF203864"/>
      </bottom>
      <diagonal/>
    </border>
    <border>
      <left/>
      <right style="thin">
        <color rgb="FF203864"/>
      </right>
      <top style="medium">
        <color rgb="FF203864"/>
      </top>
      <bottom style="medium">
        <color rgb="FF203864"/>
      </bottom>
      <diagonal/>
    </border>
    <border>
      <left/>
      <right style="medium"/>
      <top style="medium">
        <color rgb="FF203864"/>
      </top>
      <bottom style="medium">
        <color rgb="FF203864"/>
      </bottom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thin">
        <color rgb="FF203864"/>
      </right>
      <top style="medium">
        <color rgb="FF203864"/>
      </top>
      <bottom style="thin">
        <color rgb="FF203864"/>
      </bottom>
      <diagonal/>
    </border>
    <border>
      <left style="thin">
        <color rgb="FF203864"/>
      </left>
      <right style="thin">
        <color rgb="FF203864"/>
      </right>
      <top style="medium">
        <color rgb="FF203864"/>
      </top>
      <bottom style="thin">
        <color rgb="FF203864"/>
      </bottom>
      <diagonal/>
    </border>
    <border>
      <left style="thin">
        <color rgb="FF203864"/>
      </left>
      <right style="medium"/>
      <top style="medium">
        <color rgb="FF203864"/>
      </top>
      <bottom style="thin">
        <color rgb="FF203864"/>
      </bottom>
      <diagonal/>
    </border>
    <border>
      <left style="medium"/>
      <right style="thin">
        <color rgb="FF203864"/>
      </right>
      <top style="thin">
        <color rgb="FF203864"/>
      </top>
      <bottom/>
      <diagonal/>
    </border>
    <border>
      <left style="thin">
        <color rgb="FF203864"/>
      </left>
      <right style="medium"/>
      <top style="thin">
        <color rgb="FF203864"/>
      </top>
      <bottom/>
      <diagonal/>
    </border>
    <border>
      <left style="medium"/>
      <right style="thin">
        <color rgb="FF203864"/>
      </right>
      <top style="medium"/>
      <bottom style="medium"/>
      <diagonal/>
    </border>
    <border>
      <left style="thin">
        <color rgb="FF203864"/>
      </left>
      <right style="thin">
        <color rgb="FF203864"/>
      </right>
      <top style="medium"/>
      <bottom style="medium"/>
      <diagonal/>
    </border>
    <border>
      <left style="thin">
        <color rgb="FF203864"/>
      </left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medium"/>
      <diagonal/>
    </border>
    <border>
      <left style="thin"/>
      <right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 style="thin"/>
      <right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/>
      <top style="medium"/>
      <bottom style="thin"/>
      <diagonal/>
    </border>
    <border>
      <left style="medium">
        <color rgb="FF203864"/>
      </left>
      <right style="thin">
        <color rgb="FF203864"/>
      </right>
      <top/>
      <bottom style="thin">
        <color rgb="FF203864"/>
      </bottom>
      <diagonal/>
    </border>
    <border>
      <left style="medium"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double">
        <color rgb="FF203864"/>
      </bottom>
      <diagonal/>
    </border>
    <border>
      <left style="medium">
        <color rgb="FF203864"/>
      </left>
      <right/>
      <top/>
      <bottom/>
      <diagonal/>
    </border>
    <border>
      <left style="medium">
        <color rgb="FF203864"/>
      </left>
      <right style="medium">
        <color rgb="FF203864"/>
      </right>
      <top/>
      <bottom/>
      <diagonal/>
    </border>
    <border>
      <left style="medium">
        <color rgb="FF203864"/>
      </left>
      <right style="medium">
        <color rgb="FF203864"/>
      </right>
      <top/>
      <bottom style="medium">
        <color rgb="FF203864"/>
      </bottom>
      <diagonal/>
    </border>
    <border>
      <left/>
      <right/>
      <top style="medium">
        <color rgb="FF203864"/>
      </top>
      <bottom/>
      <diagonal/>
    </border>
    <border>
      <left/>
      <right style="medium">
        <color rgb="FF203864"/>
      </right>
      <top style="medium">
        <color rgb="FF203864"/>
      </top>
      <bottom/>
      <diagonal/>
    </border>
    <border>
      <left/>
      <right style="medium">
        <color rgb="FF203864"/>
      </right>
      <top/>
      <bottom/>
      <diagonal/>
    </border>
    <border>
      <left style="medium">
        <color rgb="FF203864"/>
      </left>
      <right/>
      <top/>
      <bottom style="medium">
        <color rgb="FF203864"/>
      </bottom>
      <diagonal/>
    </border>
    <border>
      <left/>
      <right style="medium">
        <color rgb="FF203864"/>
      </right>
      <top/>
      <bottom style="medium">
        <color rgb="FF203864"/>
      </bottom>
      <diagonal/>
    </border>
    <border>
      <left/>
      <right/>
      <top style="double">
        <color rgb="FF203864"/>
      </top>
      <bottom/>
      <diagonal/>
    </border>
    <border>
      <left/>
      <right style="thin"/>
      <top style="double">
        <color rgb="FF203864"/>
      </top>
      <bottom/>
      <diagonal/>
    </border>
    <border>
      <left/>
      <right style="thin"/>
      <top style="double">
        <color rgb="FF203864"/>
      </top>
      <bottom style="medium"/>
      <diagonal/>
    </border>
    <border>
      <left/>
      <right/>
      <top style="medium"/>
      <bottom style="medium">
        <color rgb="FF203864"/>
      </bottom>
      <diagonal/>
    </border>
    <border>
      <left/>
      <right style="medium"/>
      <top style="medium"/>
      <bottom style="medium">
        <color rgb="FF203864"/>
      </bottom>
      <diagonal/>
    </border>
    <border>
      <left/>
      <right/>
      <top style="thin">
        <color rgb="FF222A35"/>
      </top>
      <bottom/>
      <diagonal/>
    </border>
    <border>
      <left/>
      <right style="thin">
        <color rgb="FF222A35"/>
      </right>
      <top style="thin">
        <color rgb="FF222A35"/>
      </top>
      <bottom/>
      <diagonal/>
    </border>
    <border>
      <left/>
      <right style="medium">
        <color rgb="FF222A35"/>
      </right>
      <top style="thin">
        <color rgb="FF222A35"/>
      </top>
      <bottom/>
      <diagonal/>
    </border>
    <border>
      <left/>
      <right/>
      <top style="thin">
        <color rgb="FF222A35"/>
      </top>
      <bottom style="thin">
        <color rgb="FF222A35"/>
      </bottom>
      <diagonal/>
    </border>
    <border>
      <left/>
      <right style="medium">
        <color rgb="FF222A35"/>
      </right>
      <top style="thin">
        <color rgb="FF222A35"/>
      </top>
      <bottom style="thin">
        <color rgb="FF222A35"/>
      </bottom>
      <diagonal/>
    </border>
    <border>
      <left/>
      <right/>
      <top style="thin">
        <color rgb="FF222A35"/>
      </top>
      <bottom style="medium">
        <color rgb="FF222A35"/>
      </bottom>
      <diagonal/>
    </border>
    <border>
      <left/>
      <right style="medium">
        <color rgb="FF222A35"/>
      </right>
      <top style="thin">
        <color rgb="FF222A35"/>
      </top>
      <bottom style="medium">
        <color rgb="FF222A35"/>
      </bottom>
      <diagonal/>
    </border>
    <border>
      <left/>
      <right/>
      <top style="medium"/>
      <bottom style="medium"/>
      <diagonal/>
    </border>
    <border>
      <left/>
      <right/>
      <top style="thin">
        <color rgb="FF203864"/>
      </top>
      <bottom/>
      <diagonal/>
    </border>
    <border>
      <left style="thin">
        <color rgb="FF203864"/>
      </left>
      <right/>
      <top/>
      <bottom/>
      <diagonal/>
    </border>
    <border>
      <left/>
      <right style="thin">
        <color rgb="FF203864"/>
      </right>
      <top style="thin">
        <color rgb="FF203864"/>
      </top>
      <bottom/>
      <diagonal/>
    </border>
    <border>
      <left/>
      <right style="thin">
        <color rgb="FF203864"/>
      </right>
      <top/>
      <bottom/>
      <diagonal/>
    </border>
    <border>
      <left style="thin">
        <color rgb="FF203864"/>
      </left>
      <right/>
      <top/>
      <bottom style="thin">
        <color rgb="FF203864"/>
      </bottom>
      <diagonal/>
    </border>
    <border>
      <left/>
      <right style="thin">
        <color rgb="FF203864"/>
      </right>
      <top style="medium">
        <color rgb="FF203864"/>
      </top>
      <bottom/>
      <diagonal/>
    </border>
    <border>
      <left/>
      <right style="thin">
        <color rgb="FF203864"/>
      </right>
      <top style="medium">
        <color rgb="FF203864"/>
      </top>
      <bottom style="thin">
        <color rgb="FF203864"/>
      </bottom>
      <diagonal/>
    </border>
    <border>
      <left/>
      <right style="thin">
        <color rgb="FF203864"/>
      </right>
      <top style="medium"/>
      <bottom/>
      <diagonal/>
    </border>
    <border>
      <left/>
      <right style="thin">
        <color rgb="FF203864"/>
      </right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</cellStyleXfs>
  <cellXfs count="4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6" fillId="2" borderId="0" applyAlignment="1" pivotButton="0" quotePrefix="0" xfId="0">
      <alignment horizontal="general" vertical="bottom"/>
    </xf>
    <xf numFmtId="9" fontId="0" fillId="0" borderId="1" applyAlignment="1" pivotButton="0" quotePrefix="0" xfId="19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applyProtection="1" pivotButton="0" quotePrefix="0" xfId="0">
      <alignment horizontal="general" vertical="bottom"/>
      <protection locked="0" hidden="0"/>
    </xf>
    <xf numFmtId="0" fontId="8" fillId="3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2" fillId="5" borderId="4" applyAlignment="1" applyProtection="1" pivotButton="0" quotePrefix="0" xfId="0">
      <alignment horizontal="center" vertical="center"/>
      <protection locked="0" hidden="0"/>
    </xf>
    <xf numFmtId="0" fontId="11" fillId="6" borderId="5" applyAlignment="1" pivotButton="0" quotePrefix="0" xfId="0">
      <alignment horizontal="center" vertical="center"/>
    </xf>
    <xf numFmtId="0" fontId="7" fillId="5" borderId="4" applyAlignment="1" applyProtection="1" pivotButton="0" quotePrefix="0" xfId="0">
      <alignment horizontal="center" vertical="center"/>
      <protection locked="0" hidden="0"/>
    </xf>
    <xf numFmtId="0" fontId="13" fillId="4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/>
    </xf>
    <xf numFmtId="0" fontId="12" fillId="5" borderId="8" applyAlignment="1" applyProtection="1" pivotButton="0" quotePrefix="0" xfId="0">
      <alignment horizontal="center" vertical="center"/>
      <protection locked="0" hidden="0"/>
    </xf>
    <xf numFmtId="0" fontId="11" fillId="6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6" fillId="7" borderId="11" applyAlignment="1" pivotButton="0" quotePrefix="0" xfId="0">
      <alignment horizontal="center" vertical="center" wrapText="1"/>
    </xf>
    <xf numFmtId="0" fontId="16" fillId="7" borderId="12" applyAlignment="1" pivotButton="0" quotePrefix="0" xfId="0">
      <alignment horizontal="center" vertical="center" wrapText="1"/>
    </xf>
    <xf numFmtId="0" fontId="17" fillId="8" borderId="13" applyAlignment="1" pivotButton="0" quotePrefix="0" xfId="0">
      <alignment horizontal="center" vertical="center" wrapText="1"/>
    </xf>
    <xf numFmtId="0" fontId="17" fillId="8" borderId="14" applyAlignment="1" pivotButton="0" quotePrefix="0" xfId="0">
      <alignment horizontal="center" vertical="center" wrapText="1"/>
    </xf>
    <xf numFmtId="0" fontId="17" fillId="8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general" vertical="center" wrapText="1"/>
    </xf>
    <xf numFmtId="164" fontId="7" fillId="9" borderId="17" applyAlignment="1" applyProtection="1" pivotButton="0" quotePrefix="0" xfId="0">
      <alignment horizontal="right" vertical="center" shrinkToFit="1"/>
      <protection locked="0" hidden="0"/>
    </xf>
    <xf numFmtId="164" fontId="7" fillId="9" borderId="18" applyAlignment="1" pivotButton="0" quotePrefix="0" xfId="0">
      <alignment horizontal="right" vertical="center" shrinkToFit="1"/>
    </xf>
    <xf numFmtId="0" fontId="7" fillId="0" borderId="19" applyAlignment="1" pivotButton="0" quotePrefix="0" xfId="0">
      <alignment horizontal="general" vertical="center" wrapText="1"/>
    </xf>
    <xf numFmtId="0" fontId="7" fillId="8" borderId="20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164" fontId="7" fillId="9" borderId="22" applyAlignment="1" pivotButton="0" quotePrefix="0" xfId="0">
      <alignment horizontal="right" vertical="center" shrinkToFit="1"/>
    </xf>
    <xf numFmtId="0" fontId="7" fillId="0" borderId="23" applyAlignment="1" pivotButton="0" quotePrefix="0" xfId="0">
      <alignment horizontal="general" vertical="center" wrapText="1"/>
    </xf>
    <xf numFmtId="0" fontId="7" fillId="8" borderId="24" applyAlignment="1" pivotButton="0" quotePrefix="0" xfId="0">
      <alignment horizontal="center" vertical="center" wrapText="1"/>
    </xf>
    <xf numFmtId="0" fontId="18" fillId="10" borderId="25" applyAlignment="1" pivotButton="0" quotePrefix="0" xfId="0">
      <alignment horizontal="center" vertical="center" wrapText="1"/>
    </xf>
    <xf numFmtId="164" fontId="18" fillId="10" borderId="26" applyAlignment="1" pivotButton="0" quotePrefix="0" xfId="0">
      <alignment horizontal="right" vertical="center" shrinkToFit="1"/>
    </xf>
    <xf numFmtId="164" fontId="18" fillId="10" borderId="27" applyAlignment="1" pivotButton="0" quotePrefix="0" xfId="0">
      <alignment horizontal="right" vertical="center" shrinkToFit="1"/>
    </xf>
    <xf numFmtId="164" fontId="18" fillId="10" borderId="28" applyAlignment="1" pivotButton="0" quotePrefix="0" xfId="0">
      <alignment horizontal="right" vertical="center" shrinkToFit="1"/>
    </xf>
    <xf numFmtId="0" fontId="15" fillId="0" borderId="10" applyAlignment="1" pivotButton="0" quotePrefix="0" xfId="0">
      <alignment horizontal="center" vertical="center" wrapText="1"/>
    </xf>
    <xf numFmtId="0" fontId="19" fillId="7" borderId="11" applyAlignment="1" pivotButton="0" quotePrefix="0" xfId="0">
      <alignment horizontal="center" vertical="center" wrapText="1"/>
    </xf>
    <xf numFmtId="0" fontId="19" fillId="7" borderId="1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general" vertical="top" wrapText="1"/>
    </xf>
    <xf numFmtId="0" fontId="20" fillId="8" borderId="24" applyAlignment="1" pivotButton="0" quotePrefix="0" xfId="0">
      <alignment horizontal="center" vertical="center" wrapText="1"/>
    </xf>
    <xf numFmtId="0" fontId="21" fillId="10" borderId="25" applyAlignment="1" pivotButton="0" quotePrefix="0" xfId="0">
      <alignment horizontal="center" vertical="center" wrapText="1"/>
    </xf>
    <xf numFmtId="164" fontId="21" fillId="10" borderId="26" applyAlignment="1" pivotButton="0" quotePrefix="0" xfId="0">
      <alignment horizontal="right" vertical="center" shrinkToFit="1"/>
    </xf>
    <xf numFmtId="164" fontId="21" fillId="10" borderId="29" applyAlignment="1" pivotButton="0" quotePrefix="0" xfId="0">
      <alignment horizontal="right" vertical="center" shrinkToFit="1"/>
    </xf>
    <xf numFmtId="0" fontId="15" fillId="0" borderId="2" applyAlignment="1" pivotButton="0" quotePrefix="0" xfId="0">
      <alignment horizontal="center" vertical="center"/>
    </xf>
    <xf numFmtId="0" fontId="22" fillId="11" borderId="2" applyAlignment="1" pivotButton="0" quotePrefix="0" xfId="0">
      <alignment horizontal="center" vertical="center" wrapText="1"/>
    </xf>
    <xf numFmtId="0" fontId="22" fillId="11" borderId="30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7" fillId="12" borderId="30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general" vertical="center" wrapText="1"/>
    </xf>
    <xf numFmtId="0" fontId="7" fillId="0" borderId="32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left" vertical="center" wrapText="1" indent="3"/>
    </xf>
    <xf numFmtId="164" fontId="7" fillId="13" borderId="36" applyAlignment="1" applyProtection="1" pivotButton="0" quotePrefix="0" xfId="0">
      <alignment horizontal="right" vertical="center" shrinkToFit="1"/>
      <protection locked="0" hidden="0"/>
    </xf>
    <xf numFmtId="0" fontId="23" fillId="12" borderId="37" applyAlignment="1" pivotButton="0" quotePrefix="0" xfId="0">
      <alignment horizontal="center" vertical="center" wrapText="1"/>
    </xf>
    <xf numFmtId="164" fontId="7" fillId="13" borderId="36" applyAlignment="1" pivotButton="0" quotePrefix="0" xfId="0">
      <alignment horizontal="right" vertical="center" shrinkToFit="1"/>
    </xf>
    <xf numFmtId="0" fontId="7" fillId="0" borderId="38" applyAlignment="1" pivotButton="0" quotePrefix="0" xfId="0">
      <alignment horizontal="left" vertical="center" wrapText="1" indent="3"/>
    </xf>
    <xf numFmtId="0" fontId="7" fillId="0" borderId="39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center" vertical="center" wrapText="1"/>
    </xf>
    <xf numFmtId="0" fontId="7" fillId="0" borderId="41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center" vertical="center" wrapText="1"/>
    </xf>
    <xf numFmtId="0" fontId="7" fillId="0" borderId="35" applyAlignment="1" applyProtection="1" pivotButton="0" quotePrefix="0" xfId="0">
      <alignment horizontal="left" vertical="center" wrapText="1" indent="3"/>
      <protection locked="0" hidden="0"/>
    </xf>
    <xf numFmtId="0" fontId="7" fillId="0" borderId="43" applyAlignment="1" pivotButton="0" quotePrefix="0" xfId="0">
      <alignment horizontal="left" vertical="center" wrapText="1" indent="3"/>
    </xf>
    <xf numFmtId="0" fontId="7" fillId="10" borderId="44" applyAlignment="1" pivotButton="0" quotePrefix="0" xfId="0">
      <alignment horizontal="general" vertical="center" wrapText="1"/>
    </xf>
    <xf numFmtId="164" fontId="21" fillId="10" borderId="45" applyAlignment="1" pivotButton="0" quotePrefix="0" xfId="0">
      <alignment horizontal="right" vertical="center" shrinkToFit="1"/>
    </xf>
    <xf numFmtId="164" fontId="21" fillId="10" borderId="46" applyAlignment="1" pivotButton="0" quotePrefix="0" xfId="0">
      <alignment horizontal="right" vertical="center" shrinkToFit="1"/>
    </xf>
    <xf numFmtId="0" fontId="21" fillId="0" borderId="31" applyAlignment="1" applyProtection="1" pivotButton="0" quotePrefix="0" xfId="0">
      <alignment horizontal="general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 indent="3"/>
      <protection locked="0" hidden="0"/>
    </xf>
    <xf numFmtId="0" fontId="7" fillId="5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center" vertical="bottom"/>
    </xf>
    <xf numFmtId="0" fontId="11" fillId="4" borderId="47" applyAlignment="1" pivotButton="0" quotePrefix="0" xfId="0">
      <alignment horizontal="center" vertical="center" wrapText="1"/>
    </xf>
    <xf numFmtId="0" fontId="11" fillId="4" borderId="48" applyAlignment="1" pivotButton="0" quotePrefix="0" xfId="0">
      <alignment horizontal="center" vertical="center" wrapText="1"/>
    </xf>
    <xf numFmtId="0" fontId="17" fillId="14" borderId="49" applyAlignment="1" pivotButton="0" quotePrefix="0" xfId="0">
      <alignment horizontal="center" vertical="center" wrapText="1"/>
    </xf>
    <xf numFmtId="0" fontId="17" fillId="14" borderId="12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left" vertical="center" wrapText="1"/>
    </xf>
    <xf numFmtId="164" fontId="7" fillId="15" borderId="51" applyAlignment="1" applyProtection="1" pivotButton="0" quotePrefix="0" xfId="0">
      <alignment horizontal="right" vertical="center" shrinkToFit="1"/>
      <protection locked="0" hidden="0"/>
    </xf>
    <xf numFmtId="164" fontId="7" fillId="15" borderId="52" applyAlignment="1" applyProtection="1" pivotButton="0" quotePrefix="0" xfId="0">
      <alignment horizontal="right" vertical="center" shrinkToFit="1"/>
      <protection locked="0" hidden="0"/>
    </xf>
    <xf numFmtId="0" fontId="7" fillId="0" borderId="53" applyAlignment="1" pivotButton="0" quotePrefix="0" xfId="0">
      <alignment horizontal="left" vertical="center" wrapText="1"/>
    </xf>
    <xf numFmtId="164" fontId="7" fillId="15" borderId="54" applyAlignment="1" applyProtection="1" pivotButton="0" quotePrefix="0" xfId="0">
      <alignment horizontal="right" vertical="center" shrinkToFit="1"/>
      <protection locked="0" hidden="0"/>
    </xf>
    <xf numFmtId="0" fontId="21" fillId="10" borderId="55" applyAlignment="1" pivotButton="0" quotePrefix="0" xfId="0">
      <alignment horizontal="center" vertical="center" wrapText="1"/>
    </xf>
    <xf numFmtId="164" fontId="21" fillId="10" borderId="56" applyAlignment="1" pivotButton="0" quotePrefix="0" xfId="0">
      <alignment horizontal="right" vertical="center" shrinkToFit="1"/>
    </xf>
    <xf numFmtId="164" fontId="21" fillId="10" borderId="57" applyAlignment="1" pivotButton="0" quotePrefix="0" xfId="0">
      <alignment horizontal="right" vertical="center" shrinkToFit="1"/>
    </xf>
    <xf numFmtId="0" fontId="25" fillId="5" borderId="49" applyAlignment="1" applyProtection="1" pivotButton="0" quotePrefix="0" xfId="0">
      <alignment horizontal="center" vertical="center"/>
      <protection locked="0" hidden="0"/>
    </xf>
    <xf numFmtId="0" fontId="22" fillId="16" borderId="2" applyAlignment="1" applyProtection="1" pivotButton="0" quotePrefix="0" xfId="0">
      <alignment horizontal="center" vertical="center" wrapText="1"/>
      <protection locked="0" hidden="0"/>
    </xf>
    <xf numFmtId="0" fontId="22" fillId="16" borderId="2" applyAlignment="1" applyProtection="1" pivotButton="0" quotePrefix="0" xfId="0">
      <alignment horizontal="general" vertical="center" wrapText="1"/>
      <protection locked="0" hidden="0"/>
    </xf>
    <xf numFmtId="0" fontId="26" fillId="17" borderId="2" applyAlignment="1" applyProtection="1" pivotButton="0" quotePrefix="0" xfId="0">
      <alignment horizontal="center" vertical="center" wrapText="1"/>
      <protection locked="0" hidden="0"/>
    </xf>
    <xf numFmtId="0" fontId="7" fillId="0" borderId="58" applyAlignment="1" applyProtection="1" pivotButton="0" quotePrefix="0" xfId="0">
      <alignment horizontal="center" vertical="center" wrapText="1"/>
      <protection locked="0" hidden="0"/>
    </xf>
    <xf numFmtId="0" fontId="7" fillId="18" borderId="59" applyAlignment="1" applyProtection="1" pivotButton="0" quotePrefix="0" xfId="0">
      <alignment horizontal="center" vertical="center" wrapText="1"/>
      <protection locked="0" hidden="0"/>
    </xf>
    <xf numFmtId="0" fontId="7" fillId="18" borderId="59" applyAlignment="1" applyProtection="1" pivotButton="0" quotePrefix="0" xfId="0">
      <alignment horizontal="general" vertical="bottom"/>
      <protection locked="0" hidden="0"/>
    </xf>
    <xf numFmtId="0" fontId="26" fillId="17" borderId="60" applyAlignment="1" applyProtection="1" pivotButton="0" quotePrefix="0" xfId="0">
      <alignment horizontal="center" vertical="center" wrapText="1"/>
      <protection locked="0" hidden="0"/>
    </xf>
    <xf numFmtId="0" fontId="7" fillId="18" borderId="59" applyAlignment="1" applyProtection="1" pivotButton="0" quotePrefix="0" xfId="0">
      <alignment horizontal="general" vertical="center" wrapText="1"/>
      <protection locked="0" hidden="0"/>
    </xf>
    <xf numFmtId="0" fontId="7" fillId="18" borderId="61" applyAlignment="1" applyProtection="1" pivotButton="0" quotePrefix="0" xfId="0">
      <alignment horizontal="general" vertical="center" wrapText="1"/>
      <protection locked="0" hidden="0"/>
    </xf>
    <xf numFmtId="0" fontId="7" fillId="0" borderId="62" applyAlignment="1" applyProtection="1" pivotButton="0" quotePrefix="0" xfId="0">
      <alignment horizontal="center" vertical="center" wrapText="1"/>
      <protection locked="0" hidden="0"/>
    </xf>
    <xf numFmtId="0" fontId="7" fillId="18" borderId="1" applyAlignment="1" applyProtection="1" pivotButton="0" quotePrefix="0" xfId="0">
      <alignment horizontal="center" vertical="center" wrapText="1"/>
      <protection locked="0" hidden="0"/>
    </xf>
    <xf numFmtId="0" fontId="7" fillId="18" borderId="63" applyAlignment="1" applyProtection="1" pivotButton="0" quotePrefix="0" xfId="0">
      <alignment horizontal="center" vertical="center" wrapText="1"/>
      <protection locked="0" hidden="0"/>
    </xf>
    <xf numFmtId="0" fontId="26" fillId="17" borderId="1" applyAlignment="1" applyProtection="1" pivotButton="0" quotePrefix="0" xfId="0">
      <alignment horizontal="center" vertical="center" wrapText="1"/>
      <protection locked="0" hidden="0"/>
    </xf>
    <xf numFmtId="0" fontId="7" fillId="18" borderId="1" applyAlignment="1" applyProtection="1" pivotButton="0" quotePrefix="0" xfId="0">
      <alignment horizontal="general" vertical="center" wrapText="1"/>
      <protection locked="0" hidden="0"/>
    </xf>
    <xf numFmtId="0" fontId="7" fillId="18" borderId="64" applyAlignment="1" applyProtection="1" pivotButton="0" quotePrefix="0" xfId="0">
      <alignment horizontal="general" vertical="center" wrapText="1"/>
      <protection locked="0" hidden="0"/>
    </xf>
    <xf numFmtId="0" fontId="7" fillId="18" borderId="65" applyAlignment="1" applyProtection="1" pivotButton="0" quotePrefix="0" xfId="0">
      <alignment horizontal="center" vertical="center" wrapText="1"/>
      <protection locked="0" hidden="0"/>
    </xf>
    <xf numFmtId="0" fontId="7" fillId="18" borderId="66" applyAlignment="1" applyProtection="1" pivotButton="0" quotePrefix="0" xfId="0">
      <alignment horizontal="center" vertical="center" wrapText="1"/>
      <protection locked="0" hidden="0"/>
    </xf>
    <xf numFmtId="0" fontId="7" fillId="0" borderId="67" applyAlignment="1" applyProtection="1" pivotButton="0" quotePrefix="0" xfId="0">
      <alignment horizontal="center" vertical="center" wrapText="1"/>
      <protection locked="0" hidden="0"/>
    </xf>
    <xf numFmtId="0" fontId="7" fillId="18" borderId="68" applyAlignment="1" applyProtection="1" pivotButton="0" quotePrefix="0" xfId="0">
      <alignment horizontal="center" vertical="center" wrapText="1"/>
      <protection locked="0" hidden="0"/>
    </xf>
    <xf numFmtId="0" fontId="26" fillId="17" borderId="68" applyAlignment="1" applyProtection="1" pivotButton="0" quotePrefix="0" xfId="0">
      <alignment horizontal="center" vertical="center" wrapText="1"/>
      <protection locked="0" hidden="0"/>
    </xf>
    <xf numFmtId="0" fontId="7" fillId="18" borderId="68" applyAlignment="1" applyProtection="1" pivotButton="0" quotePrefix="0" xfId="0">
      <alignment horizontal="general" vertical="center" wrapText="1"/>
      <protection locked="0" hidden="0"/>
    </xf>
    <xf numFmtId="0" fontId="7" fillId="18" borderId="69" applyAlignment="1" applyProtection="1" pivotButton="0" quotePrefix="0" xfId="0">
      <alignment horizontal="general" vertical="center" wrapText="1"/>
      <protection locked="0" hidden="0"/>
    </xf>
    <xf numFmtId="0" fontId="21" fillId="0" borderId="0" applyAlignment="1" pivotButton="0" quotePrefix="0" xfId="0">
      <alignment horizontal="general" vertical="bottom"/>
    </xf>
    <xf numFmtId="0" fontId="27" fillId="19" borderId="2" applyAlignment="1" pivotButton="0" quotePrefix="0" xfId="0">
      <alignment horizontal="center" vertical="center"/>
    </xf>
    <xf numFmtId="0" fontId="27" fillId="19" borderId="30" applyAlignment="1" pivotButton="0" quotePrefix="0" xfId="0">
      <alignment horizontal="center" vertical="center"/>
    </xf>
    <xf numFmtId="0" fontId="27" fillId="19" borderId="2" applyAlignment="1" pivotButton="0" quotePrefix="0" xfId="0">
      <alignment horizontal="center" vertical="bottom"/>
    </xf>
    <xf numFmtId="0" fontId="27" fillId="19" borderId="30" applyAlignment="1" pivotButton="0" quotePrefix="0" xfId="0">
      <alignment horizontal="center" vertical="bottom"/>
    </xf>
    <xf numFmtId="0" fontId="17" fillId="20" borderId="11" applyAlignment="1" pivotButton="0" quotePrefix="0" xfId="0">
      <alignment horizontal="center" vertical="bottom"/>
    </xf>
    <xf numFmtId="0" fontId="17" fillId="20" borderId="70" applyAlignment="1" pivotButton="0" quotePrefix="0" xfId="0">
      <alignment horizontal="center" vertical="bottom"/>
    </xf>
    <xf numFmtId="0" fontId="17" fillId="20" borderId="59" applyAlignment="1" pivotButton="0" quotePrefix="0" xfId="0">
      <alignment horizontal="center" vertical="bottom"/>
    </xf>
    <xf numFmtId="0" fontId="17" fillId="20" borderId="61" applyAlignment="1" pivotButton="0" quotePrefix="0" xfId="0">
      <alignment horizontal="center" vertical="bottom"/>
    </xf>
    <xf numFmtId="0" fontId="23" fillId="0" borderId="71" applyAlignment="1" pivotButton="0" quotePrefix="0" xfId="0">
      <alignment horizontal="center" vertical="bottom"/>
    </xf>
    <xf numFmtId="164" fontId="7" fillId="19" borderId="72" applyAlignment="1" applyProtection="1" pivotButton="0" quotePrefix="0" xfId="0">
      <alignment horizontal="general" vertical="bottom" shrinkToFit="1"/>
      <protection locked="0" hidden="0"/>
    </xf>
    <xf numFmtId="0" fontId="7" fillId="0" borderId="47" applyAlignment="1" pivotButton="0" quotePrefix="0" xfId="0">
      <alignment horizontal="center" vertical="bottom"/>
    </xf>
    <xf numFmtId="0" fontId="7" fillId="20" borderId="73" applyAlignment="1" applyProtection="1" pivotButton="0" quotePrefix="0" xfId="0">
      <alignment horizontal="general" vertical="bottom"/>
      <protection locked="0" hidden="0"/>
    </xf>
    <xf numFmtId="0" fontId="7" fillId="19" borderId="60" applyAlignment="1" applyProtection="1" pivotButton="0" quotePrefix="0" xfId="0">
      <alignment horizontal="general" vertical="bottom"/>
      <protection locked="0" hidden="0"/>
    </xf>
    <xf numFmtId="0" fontId="7" fillId="20" borderId="74" applyAlignment="1" applyProtection="1" pivotButton="0" quotePrefix="0" xfId="0">
      <alignment horizontal="general" vertical="bottom"/>
      <protection locked="0" hidden="0"/>
    </xf>
    <xf numFmtId="0" fontId="7" fillId="5" borderId="0" applyAlignment="1" applyProtection="1" pivotButton="0" quotePrefix="0" xfId="0">
      <alignment horizontal="center" vertical="bottom"/>
      <protection locked="0" hidden="0"/>
    </xf>
    <xf numFmtId="0" fontId="7" fillId="5" borderId="0" applyAlignment="1" applyProtection="1" pivotButton="0" quotePrefix="0" xfId="0">
      <alignment horizontal="general" vertical="bottom"/>
      <protection locked="0" hidden="0"/>
    </xf>
    <xf numFmtId="0" fontId="15" fillId="5" borderId="2" applyAlignment="1" applyProtection="1" pivotButton="0" quotePrefix="0" xfId="0">
      <alignment horizontal="center" vertical="center"/>
      <protection locked="0" hidden="0"/>
    </xf>
    <xf numFmtId="0" fontId="14" fillId="10" borderId="2" applyAlignment="1" applyProtection="1" pivotButton="0" quotePrefix="0" xfId="0">
      <alignment horizontal="center" vertical="center" wrapText="1"/>
      <protection locked="0" hidden="0"/>
    </xf>
    <xf numFmtId="0" fontId="14" fillId="10" borderId="48" applyAlignment="1" applyProtection="1" pivotButton="0" quotePrefix="0" xfId="0">
      <alignment horizontal="center" vertical="center" wrapText="1"/>
      <protection locked="0" hidden="0"/>
    </xf>
    <xf numFmtId="0" fontId="26" fillId="11" borderId="47" applyAlignment="1" applyProtection="1" pivotButton="0" quotePrefix="0" xfId="0">
      <alignment horizontal="center" vertical="center" wrapText="1"/>
      <protection locked="0" hidden="0"/>
    </xf>
    <xf numFmtId="0" fontId="26" fillId="11" borderId="48" applyAlignment="1" applyProtection="1" pivotButton="0" quotePrefix="0" xfId="0">
      <alignment horizontal="center" vertical="center" wrapText="1"/>
      <protection locked="0" hidden="0"/>
    </xf>
    <xf numFmtId="0" fontId="15" fillId="10" borderId="2" applyAlignment="1" applyProtection="1" pivotButton="0" quotePrefix="0" xfId="0">
      <alignment horizontal="center" vertical="center" wrapText="1"/>
      <protection locked="0" hidden="0"/>
    </xf>
    <xf numFmtId="0" fontId="12" fillId="0" borderId="75" applyAlignment="1" applyProtection="1" pivotButton="0" quotePrefix="0" xfId="0">
      <alignment horizontal="center" vertical="center" wrapText="1"/>
      <protection locked="0" hidden="0"/>
    </xf>
    <xf numFmtId="0" fontId="7" fillId="21" borderId="75" applyAlignment="1" applyProtection="1" pivotButton="0" quotePrefix="0" xfId="0">
      <alignment horizontal="center" vertical="center" wrapText="1"/>
      <protection locked="0" hidden="0"/>
    </xf>
    <xf numFmtId="0" fontId="7" fillId="0" borderId="70" applyAlignment="1" applyProtection="1" pivotButton="0" quotePrefix="0" xfId="0">
      <alignment horizontal="general" vertical="center" wrapText="1"/>
      <protection locked="0" hidden="0"/>
    </xf>
    <xf numFmtId="0" fontId="7" fillId="0" borderId="59" applyAlignment="1" applyProtection="1" pivotButton="0" quotePrefix="0" xfId="0">
      <alignment horizontal="general" vertical="center" wrapText="1"/>
      <protection locked="0" hidden="0"/>
    </xf>
    <xf numFmtId="0" fontId="7" fillId="11" borderId="76" applyAlignment="1" applyProtection="1" pivotButton="0" quotePrefix="0" xfId="0">
      <alignment horizontal="center" vertical="center" wrapText="1"/>
      <protection locked="0" hidden="0"/>
    </xf>
    <xf numFmtId="0" fontId="7" fillId="11" borderId="77" applyAlignment="1" applyProtection="1" pivotButton="0" quotePrefix="0" xfId="0">
      <alignment horizontal="center" vertical="center" wrapText="1"/>
      <protection locked="0" hidden="0"/>
    </xf>
    <xf numFmtId="0" fontId="7" fillId="0" borderId="78" applyAlignment="1" applyProtection="1" pivotButton="0" quotePrefix="0" xfId="0">
      <alignment horizontal="general" vertical="center" wrapText="1"/>
      <protection locked="0" hidden="0"/>
    </xf>
    <xf numFmtId="0" fontId="7" fillId="0" borderId="75" applyAlignment="1" applyProtection="1" pivotButton="0" quotePrefix="0" xfId="0">
      <alignment horizontal="general" vertical="center" wrapText="1"/>
      <protection locked="0" hidden="0"/>
    </xf>
    <xf numFmtId="0" fontId="7" fillId="11" borderId="12" applyAlignment="1" applyProtection="1" pivotButton="0" quotePrefix="0" xfId="0">
      <alignment horizontal="general" vertical="center" wrapText="1"/>
      <protection locked="0" hidden="0"/>
    </xf>
    <xf numFmtId="0" fontId="12" fillId="0" borderId="79" applyAlignment="1" applyProtection="1" pivotButton="0" quotePrefix="0" xfId="0">
      <alignment horizontal="center" vertical="center" wrapText="1"/>
      <protection locked="0" hidden="0"/>
    </xf>
    <xf numFmtId="0" fontId="7" fillId="21" borderId="80" applyAlignment="1" applyProtection="1" pivotButton="0" quotePrefix="0" xfId="0">
      <alignment horizontal="center" vertical="center" wrapText="1"/>
      <protection locked="0" hidden="0"/>
    </xf>
    <xf numFmtId="0" fontId="7" fillId="0" borderId="66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0" fontId="7" fillId="11" borderId="0" applyAlignment="1" applyProtection="1" pivotButton="0" quotePrefix="0" xfId="0">
      <alignment horizontal="general" vertical="center" wrapText="1"/>
      <protection locked="0" hidden="0"/>
    </xf>
    <xf numFmtId="0" fontId="7" fillId="0" borderId="65" applyAlignment="1" applyProtection="1" pivotButton="0" quotePrefix="0" xfId="0">
      <alignment horizontal="general" vertical="center" wrapText="1"/>
      <protection locked="0" hidden="0"/>
    </xf>
    <xf numFmtId="0" fontId="7" fillId="0" borderId="80" applyAlignment="1" applyProtection="1" pivotButton="0" quotePrefix="0" xfId="0">
      <alignment horizontal="general" vertical="center" wrapText="1"/>
      <protection locked="0" hidden="0"/>
    </xf>
    <xf numFmtId="0" fontId="7" fillId="0" borderId="81" applyAlignment="1" applyProtection="1" pivotButton="0" quotePrefix="0" xfId="0">
      <alignment horizontal="general" vertical="center" wrapText="1"/>
      <protection locked="0" hidden="0"/>
    </xf>
    <xf numFmtId="0" fontId="7" fillId="0" borderId="22" applyAlignment="1" applyProtection="1" pivotButton="0" quotePrefix="0" xfId="0">
      <alignment horizontal="general" vertical="center" wrapText="1"/>
      <protection locked="0" hidden="0"/>
    </xf>
    <xf numFmtId="0" fontId="12" fillId="0" borderId="71" applyAlignment="1" applyProtection="1" pivotButton="0" quotePrefix="0" xfId="0">
      <alignment horizontal="center" vertical="center" wrapText="1"/>
      <protection locked="0" hidden="0"/>
    </xf>
    <xf numFmtId="0" fontId="7" fillId="21" borderId="47" applyAlignment="1" applyProtection="1" pivotButton="0" quotePrefix="0" xfId="0">
      <alignment horizontal="center" vertical="center" wrapText="1"/>
      <protection locked="0" hidden="0"/>
    </xf>
    <xf numFmtId="0" fontId="20" fillId="11" borderId="82" applyAlignment="1" applyProtection="1" pivotButton="0" quotePrefix="0" xfId="0">
      <alignment horizontal="center" vertical="center" wrapText="1"/>
      <protection locked="0" hidden="0"/>
    </xf>
    <xf numFmtId="0" fontId="7" fillId="0" borderId="68" applyAlignment="1" applyProtection="1" pivotButton="0" quotePrefix="0" xfId="0">
      <alignment horizontal="general" vertical="center" wrapText="1"/>
      <protection locked="0" hidden="0"/>
    </xf>
    <xf numFmtId="0" fontId="7" fillId="0" borderId="83" applyAlignment="1" applyProtection="1" pivotButton="0" quotePrefix="0" xfId="0">
      <alignment horizontal="general" vertical="center" wrapText="1"/>
      <protection locked="0" hidden="0"/>
    </xf>
    <xf numFmtId="0" fontId="7" fillId="0" borderId="47" applyAlignment="1" applyProtection="1" pivotButton="0" quotePrefix="0" xfId="0">
      <alignment horizontal="general" vertical="center" wrapText="1"/>
      <protection locked="0" hidden="0"/>
    </xf>
    <xf numFmtId="0" fontId="7" fillId="11" borderId="48" applyAlignment="1" applyProtection="1" pivotButton="0" quotePrefix="0" xfId="0">
      <alignment horizontal="general" vertical="center" wrapText="1"/>
      <protection locked="0" hidden="0"/>
    </xf>
    <xf numFmtId="0" fontId="15" fillId="10" borderId="47" applyAlignment="1" applyProtection="1" pivotButton="0" quotePrefix="0" xfId="0">
      <alignment horizontal="center" vertical="center" wrapText="1"/>
      <protection locked="0" hidden="0"/>
    </xf>
    <xf numFmtId="0" fontId="7" fillId="11" borderId="84" applyAlignment="1" applyProtection="1" pivotButton="0" quotePrefix="0" xfId="0">
      <alignment horizontal="center" vertical="center" wrapText="1"/>
      <protection locked="0" hidden="0"/>
    </xf>
    <xf numFmtId="0" fontId="7" fillId="0" borderId="85" applyAlignment="1" applyProtection="1" pivotButton="0" quotePrefix="0" xfId="0">
      <alignment horizontal="general" vertical="center" wrapText="1"/>
      <protection locked="0" hidden="0"/>
    </xf>
    <xf numFmtId="0" fontId="7" fillId="11" borderId="30" applyAlignment="1" applyProtection="1" pivotButton="0" quotePrefix="0" xfId="0">
      <alignment horizontal="center" vertical="center" wrapText="1"/>
      <protection locked="0" hidden="0"/>
    </xf>
    <xf numFmtId="0" fontId="7" fillId="21" borderId="79" applyAlignment="1" applyProtection="1" pivotButton="0" quotePrefix="0" xfId="0">
      <alignment horizontal="center" vertical="center" wrapText="1"/>
      <protection locked="0" hidden="0"/>
    </xf>
    <xf numFmtId="0" fontId="7" fillId="21" borderId="71" applyAlignment="1" applyProtection="1" pivotButton="0" quotePrefix="0" xfId="0">
      <alignment horizontal="center" vertical="center" wrapText="1"/>
      <protection locked="0" hidden="0"/>
    </xf>
    <xf numFmtId="0" fontId="7" fillId="5" borderId="0" applyAlignment="1" pivotButton="0" quotePrefix="0" xfId="0">
      <alignment horizontal="center" vertical="bottom"/>
    </xf>
    <xf numFmtId="0" fontId="15" fillId="0" borderId="49" applyAlignment="1" pivotButton="0" quotePrefix="0" xfId="0">
      <alignment horizontal="left" vertical="center" wrapText="1"/>
    </xf>
    <xf numFmtId="0" fontId="29" fillId="22" borderId="47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 wrapText="1"/>
    </xf>
    <xf numFmtId="0" fontId="22" fillId="23" borderId="2" applyAlignment="1" pivotButton="0" quotePrefix="0" xfId="0">
      <alignment horizontal="center" vertical="center" wrapText="1"/>
    </xf>
    <xf numFmtId="0" fontId="23" fillId="22" borderId="47" applyAlignment="1" pivotButton="0" quotePrefix="0" xfId="0">
      <alignment horizontal="center" vertical="center"/>
    </xf>
    <xf numFmtId="0" fontId="7" fillId="24" borderId="1" applyAlignment="1" applyProtection="1" pivotButton="0" quotePrefix="0" xfId="0">
      <alignment horizontal="left" vertical="top" wrapText="1"/>
      <protection locked="0" hidden="0"/>
    </xf>
    <xf numFmtId="164" fontId="7" fillId="5" borderId="86" applyAlignment="1" applyProtection="1" pivotButton="0" quotePrefix="0" xfId="0">
      <alignment horizontal="general" vertical="bottom" shrinkToFit="1"/>
      <protection locked="0" hidden="0"/>
    </xf>
    <xf numFmtId="0" fontId="21" fillId="0" borderId="87" applyAlignment="1" pivotButton="0" quotePrefix="0" xfId="0">
      <alignment horizontal="center" vertical="center"/>
    </xf>
    <xf numFmtId="164" fontId="21" fillId="0" borderId="2" applyAlignment="1" pivotButton="0" quotePrefix="0" xfId="0">
      <alignment horizontal="right" vertical="center" shrinkToFit="1"/>
    </xf>
    <xf numFmtId="164" fontId="21" fillId="0" borderId="30" applyAlignment="1" pivotButton="0" quotePrefix="0" xfId="0">
      <alignment horizontal="right" vertical="center" shrinkToFit="1"/>
    </xf>
    <xf numFmtId="0" fontId="3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21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left" vertical="top" wrapText="1"/>
    </xf>
    <xf numFmtId="0" fontId="32" fillId="0" borderId="0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8" pivotButton="0" quotePrefix="0" xfId="0"/>
    <xf numFmtId="0" fontId="0" fillId="0" borderId="48" pivotButton="0" quotePrefix="0" xfId="0"/>
    <xf numFmtId="0" fontId="10" fillId="0" borderId="0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2" fillId="5" borderId="4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1" fillId="6" borderId="5" applyAlignment="1" pivotButton="0" quotePrefix="0" xfId="0">
      <alignment horizontal="center" vertical="center"/>
    </xf>
    <xf numFmtId="0" fontId="0" fillId="0" borderId="93" pivotButton="0" quotePrefix="0" xfId="0"/>
    <xf numFmtId="0" fontId="7" fillId="5" borderId="4" applyAlignment="1" applyProtection="1" pivotButton="0" quotePrefix="0" xfId="0">
      <alignment horizontal="center" vertical="center"/>
      <protection locked="0" hidden="0"/>
    </xf>
    <xf numFmtId="0" fontId="13" fillId="4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 wrapText="1"/>
    </xf>
    <xf numFmtId="0" fontId="0" fillId="0" borderId="98" pivotButton="0" quotePrefix="0" xfId="0"/>
    <xf numFmtId="0" fontId="11" fillId="4" borderId="7" applyAlignment="1" pivotButton="0" quotePrefix="0" xfId="0">
      <alignment horizontal="center" vertical="center"/>
    </xf>
    <xf numFmtId="0" fontId="12" fillId="5" borderId="8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11" fillId="6" borderId="9" applyAlignment="1" pivotButton="0" quotePrefix="0" xfId="0">
      <alignment horizontal="center" vertical="center"/>
    </xf>
    <xf numFmtId="0" fontId="0" fillId="0" borderId="104" pivotButton="0" quotePrefix="0" xfId="0"/>
    <xf numFmtId="0" fontId="0" fillId="0" borderId="96" pivotButton="0" quotePrefix="0" xfId="0"/>
    <xf numFmtId="0" fontId="0" fillId="0" borderId="100" pivotButton="0" quotePrefix="0" xfId="0"/>
    <xf numFmtId="0" fontId="0" fillId="0" borderId="101" pivotButton="0" quotePrefix="0" xfId="0"/>
    <xf numFmtId="0" fontId="12" fillId="0" borderId="0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0" fillId="0" borderId="105" pivotButton="0" quotePrefix="0" xfId="0"/>
    <xf numFmtId="0" fontId="0" fillId="0" borderId="106" pivotButton="0" quotePrefix="0" xfId="0"/>
    <xf numFmtId="0" fontId="16" fillId="7" borderId="11" applyAlignment="1" pivotButton="0" quotePrefix="0" xfId="0">
      <alignment horizontal="center" vertical="center" wrapText="1"/>
    </xf>
    <xf numFmtId="0" fontId="16" fillId="7" borderId="12" applyAlignment="1" pivotButton="0" quotePrefix="0" xfId="0">
      <alignment horizontal="center" vertical="center" wrapText="1"/>
    </xf>
    <xf numFmtId="0" fontId="17" fillId="8" borderId="13" applyAlignment="1" pivotButton="0" quotePrefix="0" xfId="0">
      <alignment horizontal="center" vertical="center" wrapText="1"/>
    </xf>
    <xf numFmtId="0" fontId="17" fillId="8" borderId="14" applyAlignment="1" pivotButton="0" quotePrefix="0" xfId="0">
      <alignment horizontal="center" vertical="center" wrapText="1"/>
    </xf>
    <xf numFmtId="0" fontId="17" fillId="8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general" vertical="center" wrapText="1"/>
    </xf>
    <xf numFmtId="164" fontId="7" fillId="9" borderId="17" applyAlignment="1" applyProtection="1" pivotButton="0" quotePrefix="0" xfId="0">
      <alignment horizontal="right" vertical="center" shrinkToFit="1"/>
      <protection locked="0" hidden="0"/>
    </xf>
    <xf numFmtId="164" fontId="7" fillId="9" borderId="18" applyAlignment="1" pivotButton="0" quotePrefix="0" xfId="0">
      <alignment horizontal="right" vertical="center" shrinkToFit="1"/>
    </xf>
    <xf numFmtId="0" fontId="7" fillId="0" borderId="19" applyAlignment="1" pivotButton="0" quotePrefix="0" xfId="0">
      <alignment horizontal="general" vertical="center" wrapText="1"/>
    </xf>
    <xf numFmtId="0" fontId="7" fillId="8" borderId="20" applyAlignment="1" pivotButton="0" quotePrefix="0" xfId="0">
      <alignment horizontal="center" vertical="center" wrapText="1"/>
    </xf>
    <xf numFmtId="0" fontId="0" fillId="0" borderId="108" pivotButton="0" quotePrefix="0" xfId="0"/>
    <xf numFmtId="0" fontId="7" fillId="8" borderId="21" applyAlignment="1" pivotButton="0" quotePrefix="0" xfId="0">
      <alignment horizontal="center" vertical="center" wrapText="1"/>
    </xf>
    <xf numFmtId="0" fontId="0" fillId="0" borderId="110" pivotButton="0" quotePrefix="0" xfId="0"/>
    <xf numFmtId="0" fontId="0" fillId="0" borderId="111" pivotButton="0" quotePrefix="0" xfId="0"/>
    <xf numFmtId="164" fontId="7" fillId="9" borderId="22" applyAlignment="1" pivotButton="0" quotePrefix="0" xfId="0">
      <alignment horizontal="right" vertical="center" shrinkToFit="1"/>
    </xf>
    <xf numFmtId="0" fontId="7" fillId="0" borderId="23" applyAlignment="1" pivotButton="0" quotePrefix="0" xfId="0">
      <alignment horizontal="general" vertical="center" wrapText="1"/>
    </xf>
    <xf numFmtId="0" fontId="7" fillId="8" borderId="24" applyAlignment="1" pivotButton="0" quotePrefix="0" xfId="0">
      <alignment horizontal="center" vertical="center" wrapText="1"/>
    </xf>
    <xf numFmtId="0" fontId="0" fillId="0" borderId="112" pivotButton="0" quotePrefix="0" xfId="0"/>
    <xf numFmtId="0" fontId="0" fillId="0" borderId="113" pivotButton="0" quotePrefix="0" xfId="0"/>
    <xf numFmtId="0" fontId="18" fillId="10" borderId="25" applyAlignment="1" pivotButton="0" quotePrefix="0" xfId="0">
      <alignment horizontal="center" vertical="center" wrapText="1"/>
    </xf>
    <xf numFmtId="164" fontId="18" fillId="10" borderId="26" applyAlignment="1" pivotButton="0" quotePrefix="0" xfId="0">
      <alignment horizontal="right" vertical="center" shrinkToFit="1"/>
    </xf>
    <xf numFmtId="164" fontId="18" fillId="10" borderId="27" applyAlignment="1" pivotButton="0" quotePrefix="0" xfId="0">
      <alignment horizontal="right" vertical="center" shrinkToFit="1"/>
    </xf>
    <xf numFmtId="164" fontId="18" fillId="10" borderId="28" applyAlignment="1" pivotButton="0" quotePrefix="0" xfId="0">
      <alignment horizontal="right" vertical="center" shrinkToFit="1"/>
    </xf>
    <xf numFmtId="0" fontId="15" fillId="0" borderId="10" applyAlignment="1" pivotButton="0" quotePrefix="0" xfId="0">
      <alignment horizontal="center" vertical="center" wrapText="1"/>
    </xf>
    <xf numFmtId="0" fontId="19" fillId="7" borderId="11" applyAlignment="1" pivotButton="0" quotePrefix="0" xfId="0">
      <alignment horizontal="center" vertical="center" wrapText="1"/>
    </xf>
    <xf numFmtId="0" fontId="19" fillId="7" borderId="1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general" vertical="top" wrapText="1"/>
    </xf>
    <xf numFmtId="0" fontId="20" fillId="8" borderId="24" applyAlignment="1" pivotButton="0" quotePrefix="0" xfId="0">
      <alignment horizontal="center" vertical="center" wrapText="1"/>
    </xf>
    <xf numFmtId="0" fontId="21" fillId="10" borderId="25" applyAlignment="1" pivotButton="0" quotePrefix="0" xfId="0">
      <alignment horizontal="center" vertical="center" wrapText="1"/>
    </xf>
    <xf numFmtId="164" fontId="21" fillId="10" borderId="26" applyAlignment="1" pivotButton="0" quotePrefix="0" xfId="0">
      <alignment horizontal="right" vertical="center" shrinkToFit="1"/>
    </xf>
    <xf numFmtId="164" fontId="21" fillId="10" borderId="29" applyAlignment="1" pivotButton="0" quotePrefix="0" xfId="0">
      <alignment horizontal="right" vertical="center" shrinkToFit="1"/>
    </xf>
    <xf numFmtId="0" fontId="15" fillId="0" borderId="2" applyAlignment="1" pivotButton="0" quotePrefix="0" xfId="0">
      <alignment horizontal="center" vertical="center"/>
    </xf>
    <xf numFmtId="0" fontId="0" fillId="0" borderId="114" pivotButton="0" quotePrefix="0" xfId="0"/>
    <xf numFmtId="0" fontId="0" fillId="0" borderId="30" pivotButton="0" quotePrefix="0" xfId="0"/>
    <xf numFmtId="0" fontId="22" fillId="11" borderId="2" applyAlignment="1" pivotButton="0" quotePrefix="0" xfId="0">
      <alignment horizontal="center" vertical="center" wrapText="1"/>
    </xf>
    <xf numFmtId="0" fontId="22" fillId="11" borderId="30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7" fillId="12" borderId="30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general" vertical="center" wrapText="1"/>
    </xf>
    <xf numFmtId="0" fontId="7" fillId="0" borderId="32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left" vertical="center" wrapText="1" indent="3"/>
    </xf>
    <xf numFmtId="164" fontId="7" fillId="13" borderId="36" applyAlignment="1" applyProtection="1" pivotButton="0" quotePrefix="0" xfId="0">
      <alignment horizontal="right" vertical="center" shrinkToFit="1"/>
      <protection locked="0" hidden="0"/>
    </xf>
    <xf numFmtId="0" fontId="23" fillId="12" borderId="37" applyAlignment="1" pivotButton="0" quotePrefix="0" xfId="0">
      <alignment horizontal="center" vertical="center" wrapText="1"/>
    </xf>
    <xf numFmtId="0" fontId="0" fillId="0" borderId="117" pivotButton="0" quotePrefix="0" xfId="0"/>
    <xf numFmtId="0" fontId="0" fillId="0" borderId="119" pivotButton="0" quotePrefix="0" xfId="0"/>
    <xf numFmtId="0" fontId="0" fillId="0" borderId="32" pivotButton="0" quotePrefix="0" xfId="0"/>
    <xf numFmtId="164" fontId="7" fillId="13" borderId="36" applyAlignment="1" pivotButton="0" quotePrefix="0" xfId="0">
      <alignment horizontal="right" vertical="center" shrinkToFit="1"/>
    </xf>
    <xf numFmtId="0" fontId="7" fillId="0" borderId="38" applyAlignment="1" pivotButton="0" quotePrefix="0" xfId="0">
      <alignment horizontal="left" vertical="center" wrapText="1" indent="3"/>
    </xf>
    <xf numFmtId="0" fontId="7" fillId="0" borderId="39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center" vertical="center" wrapText="1"/>
    </xf>
    <xf numFmtId="0" fontId="7" fillId="0" borderId="41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center" vertical="center" wrapText="1"/>
    </xf>
    <xf numFmtId="0" fontId="7" fillId="0" borderId="35" applyAlignment="1" applyProtection="1" pivotButton="0" quotePrefix="0" xfId="0">
      <alignment horizontal="left" vertical="center" wrapText="1" indent="3"/>
      <protection locked="0" hidden="0"/>
    </xf>
    <xf numFmtId="0" fontId="7" fillId="0" borderId="43" applyAlignment="1" pivotButton="0" quotePrefix="0" xfId="0">
      <alignment horizontal="left" vertical="center" wrapText="1" indent="3"/>
    </xf>
    <xf numFmtId="0" fontId="7" fillId="10" borderId="44" applyAlignment="1" pivotButton="0" quotePrefix="0" xfId="0">
      <alignment horizontal="general" vertical="center" wrapText="1"/>
    </xf>
    <xf numFmtId="164" fontId="21" fillId="10" borderId="45" applyAlignment="1" pivotButton="0" quotePrefix="0" xfId="0">
      <alignment horizontal="right" vertical="center" shrinkToFit="1"/>
    </xf>
    <xf numFmtId="164" fontId="21" fillId="10" borderId="46" applyAlignment="1" pivotButton="0" quotePrefix="0" xfId="0">
      <alignment horizontal="right" vertical="center" shrinkToFit="1"/>
    </xf>
    <xf numFmtId="0" fontId="21" fillId="0" borderId="31" applyAlignment="1" applyProtection="1" pivotButton="0" quotePrefix="0" xfId="0">
      <alignment horizontal="general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 indent="3"/>
      <protection locked="0" hidden="0"/>
    </xf>
    <xf numFmtId="0" fontId="7" fillId="5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center" vertical="bottom"/>
    </xf>
    <xf numFmtId="0" fontId="11" fillId="4" borderId="47" applyAlignment="1" pivotButton="0" quotePrefix="0" xfId="0">
      <alignment horizontal="center" vertical="center" wrapText="1"/>
    </xf>
    <xf numFmtId="0" fontId="11" fillId="4" borderId="48" applyAlignment="1" pivotButton="0" quotePrefix="0" xfId="0">
      <alignment horizontal="center" vertical="center" wrapText="1"/>
    </xf>
    <xf numFmtId="0" fontId="17" fillId="14" borderId="49" applyAlignment="1" pivotButton="0" quotePrefix="0" xfId="0">
      <alignment horizontal="center" vertical="center" wrapText="1"/>
    </xf>
    <xf numFmtId="0" fontId="17" fillId="14" borderId="12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left" vertical="center" wrapText="1"/>
    </xf>
    <xf numFmtId="0" fontId="0" fillId="0" borderId="121" pivotButton="0" quotePrefix="0" xfId="0"/>
    <xf numFmtId="164" fontId="7" fillId="15" borderId="51" applyAlignment="1" applyProtection="1" pivotButton="0" quotePrefix="0" xfId="0">
      <alignment horizontal="right" vertical="center" shrinkToFit="1"/>
      <protection locked="0" hidden="0"/>
    </xf>
    <xf numFmtId="164" fontId="7" fillId="15" borderId="52" applyAlignment="1" applyProtection="1" pivotButton="0" quotePrefix="0" xfId="0">
      <alignment horizontal="right" vertical="center" shrinkToFit="1"/>
      <protection locked="0" hidden="0"/>
    </xf>
    <xf numFmtId="0" fontId="7" fillId="0" borderId="53" applyAlignment="1" pivotButton="0" quotePrefix="0" xfId="0">
      <alignment horizontal="left" vertical="center" wrapText="1"/>
    </xf>
    <xf numFmtId="164" fontId="7" fillId="15" borderId="54" applyAlignment="1" applyProtection="1" pivotButton="0" quotePrefix="0" xfId="0">
      <alignment horizontal="right" vertical="center" shrinkToFit="1"/>
      <protection locked="0" hidden="0"/>
    </xf>
    <xf numFmtId="0" fontId="21" fillId="10" borderId="55" applyAlignment="1" pivotButton="0" quotePrefix="0" xfId="0">
      <alignment horizontal="center" vertical="center" wrapText="1"/>
    </xf>
    <xf numFmtId="0" fontId="0" fillId="0" borderId="123" pivotButton="0" quotePrefix="0" xfId="0"/>
    <xf numFmtId="164" fontId="21" fillId="10" borderId="56" applyAlignment="1" pivotButton="0" quotePrefix="0" xfId="0">
      <alignment horizontal="right" vertical="center" shrinkToFit="1"/>
    </xf>
    <xf numFmtId="164" fontId="21" fillId="10" borderId="57" applyAlignment="1" pivotButton="0" quotePrefix="0" xfId="0">
      <alignment horizontal="right" vertical="center" shrinkToFit="1"/>
    </xf>
    <xf numFmtId="0" fontId="25" fillId="5" borderId="49" applyAlignment="1" applyProtection="1" pivotButton="0" quotePrefix="0" xfId="0">
      <alignment horizontal="center" vertical="center"/>
      <protection locked="0" hidden="0"/>
    </xf>
    <xf numFmtId="0" fontId="0" fillId="0" borderId="88" applyProtection="1" pivotButton="0" quotePrefix="0" xfId="0">
      <protection locked="0" hidden="0"/>
    </xf>
    <xf numFmtId="0" fontId="0" fillId="0" borderId="90" applyProtection="1" pivotButton="0" quotePrefix="0" xfId="0">
      <protection locked="0" hidden="0"/>
    </xf>
    <xf numFmtId="0" fontId="22" fillId="16" borderId="2" applyAlignment="1" applyProtection="1" pivotButton="0" quotePrefix="0" xfId="0">
      <alignment horizontal="center" vertical="center" wrapText="1"/>
      <protection locked="0" hidden="0"/>
    </xf>
    <xf numFmtId="0" fontId="0" fillId="0" borderId="114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22" fillId="16" borderId="2" applyAlignment="1" applyProtection="1" pivotButton="0" quotePrefix="0" xfId="0">
      <alignment horizontal="general" vertical="center" wrapText="1"/>
      <protection locked="0" hidden="0"/>
    </xf>
    <xf numFmtId="0" fontId="26" fillId="17" borderId="2" applyAlignment="1" applyProtection="1" pivotButton="0" quotePrefix="0" xfId="0">
      <alignment horizontal="center" vertical="center" wrapText="1"/>
      <protection locked="0" hidden="0"/>
    </xf>
    <xf numFmtId="0" fontId="7" fillId="0" borderId="58" applyAlignment="1" applyProtection="1" pivotButton="0" quotePrefix="0" xfId="0">
      <alignment horizontal="center" vertical="center" wrapText="1"/>
      <protection locked="0" hidden="0"/>
    </xf>
    <xf numFmtId="0" fontId="7" fillId="18" borderId="59" applyAlignment="1" applyProtection="1" pivotButton="0" quotePrefix="0" xfId="0">
      <alignment horizontal="center" vertical="center" wrapText="1"/>
      <protection locked="0" hidden="0"/>
    </xf>
    <xf numFmtId="0" fontId="7" fillId="18" borderId="59" applyAlignment="1" applyProtection="1" pivotButton="0" quotePrefix="0" xfId="0">
      <alignment horizontal="general" vertical="bottom"/>
      <protection locked="0" hidden="0"/>
    </xf>
    <xf numFmtId="0" fontId="26" fillId="17" borderId="60" applyAlignment="1" applyProtection="1" pivotButton="0" quotePrefix="0" xfId="0">
      <alignment horizontal="center" vertical="center" wrapText="1"/>
      <protection locked="0" hidden="0"/>
    </xf>
    <xf numFmtId="0" fontId="7" fillId="18" borderId="59" applyAlignment="1" applyProtection="1" pivotButton="0" quotePrefix="0" xfId="0">
      <alignment horizontal="general" vertical="center" wrapText="1"/>
      <protection locked="0" hidden="0"/>
    </xf>
    <xf numFmtId="0" fontId="7" fillId="18" borderId="61" applyAlignment="1" applyProtection="1" pivotButton="0" quotePrefix="0" xfId="0">
      <alignment horizontal="general" vertical="center" wrapText="1"/>
      <protection locked="0" hidden="0"/>
    </xf>
    <xf numFmtId="0" fontId="7" fillId="0" borderId="62" applyAlignment="1" applyProtection="1" pivotButton="0" quotePrefix="0" xfId="0">
      <alignment horizontal="center" vertical="center" wrapText="1"/>
      <protection locked="0" hidden="0"/>
    </xf>
    <xf numFmtId="0" fontId="7" fillId="18" borderId="1" applyAlignment="1" applyProtection="1" pivotButton="0" quotePrefix="0" xfId="0">
      <alignment horizontal="center" vertical="center" wrapText="1"/>
      <protection locked="0" hidden="0"/>
    </xf>
    <xf numFmtId="0" fontId="7" fillId="18" borderId="63" applyAlignment="1" applyProtection="1" pivotButton="0" quotePrefix="0" xfId="0">
      <alignment horizontal="center" vertical="center" wrapText="1"/>
      <protection locked="0" hidden="0"/>
    </xf>
    <xf numFmtId="0" fontId="26" fillId="17" borderId="1" applyAlignment="1" applyProtection="1" pivotButton="0" quotePrefix="0" xfId="0">
      <alignment horizontal="center" vertical="center" wrapText="1"/>
      <protection locked="0" hidden="0"/>
    </xf>
    <xf numFmtId="0" fontId="7" fillId="18" borderId="1" applyAlignment="1" applyProtection="1" pivotButton="0" quotePrefix="0" xfId="0">
      <alignment horizontal="general" vertical="center" wrapText="1"/>
      <protection locked="0" hidden="0"/>
    </xf>
    <xf numFmtId="0" fontId="0" fillId="0" borderId="125" applyProtection="1" pivotButton="0" quotePrefix="0" xfId="0">
      <protection locked="0" hidden="0"/>
    </xf>
    <xf numFmtId="0" fontId="7" fillId="18" borderId="64" applyAlignment="1" applyProtection="1" pivotButton="0" quotePrefix="0" xfId="0">
      <alignment horizontal="general" vertical="center" wrapText="1"/>
      <protection locked="0" hidden="0"/>
    </xf>
    <xf numFmtId="0" fontId="7" fillId="18" borderId="65" applyAlignment="1" applyProtection="1" pivotButton="0" quotePrefix="0" xfId="0">
      <alignment horizontal="center" vertical="center" wrapText="1"/>
      <protection locked="0" hidden="0"/>
    </xf>
    <xf numFmtId="0" fontId="7" fillId="18" borderId="66" applyAlignment="1" applyProtection="1" pivotButton="0" quotePrefix="0" xfId="0">
      <alignment horizontal="center" vertical="center" wrapText="1"/>
      <protection locked="0" hidden="0"/>
    </xf>
    <xf numFmtId="0" fontId="7" fillId="0" borderId="67" applyAlignment="1" applyProtection="1" pivotButton="0" quotePrefix="0" xfId="0">
      <alignment horizontal="center" vertical="center" wrapText="1"/>
      <protection locked="0" hidden="0"/>
    </xf>
    <xf numFmtId="0" fontId="7" fillId="18" borderId="68" applyAlignment="1" applyProtection="1" pivotButton="0" quotePrefix="0" xfId="0">
      <alignment horizontal="center" vertical="center" wrapText="1"/>
      <protection locked="0" hidden="0"/>
    </xf>
    <xf numFmtId="0" fontId="26" fillId="17" borderId="68" applyAlignment="1" applyProtection="1" pivotButton="0" quotePrefix="0" xfId="0">
      <alignment horizontal="center" vertical="center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7" fillId="18" borderId="68" applyAlignment="1" applyProtection="1" pivotButton="0" quotePrefix="0" xfId="0">
      <alignment horizontal="general" vertical="center" wrapText="1"/>
      <protection locked="0" hidden="0"/>
    </xf>
    <xf numFmtId="0" fontId="0" fillId="0" borderId="60" applyProtection="1" pivotButton="0" quotePrefix="0" xfId="0">
      <protection locked="0" hidden="0"/>
    </xf>
    <xf numFmtId="0" fontId="7" fillId="18" borderId="69" applyAlignment="1" applyProtection="1" pivotButton="0" quotePrefix="0" xfId="0">
      <alignment horizontal="general" vertical="center" wrapText="1"/>
      <protection locked="0" hidden="0"/>
    </xf>
    <xf numFmtId="0" fontId="21" fillId="0" borderId="0" applyAlignment="1" pivotButton="0" quotePrefix="0" xfId="0">
      <alignment horizontal="general" vertical="bottom"/>
    </xf>
    <xf numFmtId="0" fontId="27" fillId="19" borderId="2" applyAlignment="1" pivotButton="0" quotePrefix="0" xfId="0">
      <alignment horizontal="center" vertical="center"/>
    </xf>
    <xf numFmtId="0" fontId="27" fillId="19" borderId="30" applyAlignment="1" pivotButton="0" quotePrefix="0" xfId="0">
      <alignment horizontal="center" vertical="center"/>
    </xf>
    <xf numFmtId="0" fontId="27" fillId="19" borderId="2" applyAlignment="1" pivotButton="0" quotePrefix="0" xfId="0">
      <alignment horizontal="center" vertical="bottom"/>
    </xf>
    <xf numFmtId="0" fontId="27" fillId="19" borderId="30" applyAlignment="1" pivotButton="0" quotePrefix="0" xfId="0">
      <alignment horizontal="center" vertical="bottom"/>
    </xf>
    <xf numFmtId="0" fontId="17" fillId="20" borderId="11" applyAlignment="1" pivotButton="0" quotePrefix="0" xfId="0">
      <alignment horizontal="center" vertical="bottom"/>
    </xf>
    <xf numFmtId="0" fontId="17" fillId="20" borderId="70" applyAlignment="1" pivotButton="0" quotePrefix="0" xfId="0">
      <alignment horizontal="center" vertical="bottom"/>
    </xf>
    <xf numFmtId="0" fontId="17" fillId="20" borderId="59" applyAlignment="1" pivotButton="0" quotePrefix="0" xfId="0">
      <alignment horizontal="center" vertical="bottom"/>
    </xf>
    <xf numFmtId="0" fontId="17" fillId="20" borderId="61" applyAlignment="1" pivotButton="0" quotePrefix="0" xfId="0">
      <alignment horizontal="center" vertical="bottom"/>
    </xf>
    <xf numFmtId="0" fontId="23" fillId="0" borderId="71" applyAlignment="1" pivotButton="0" quotePrefix="0" xfId="0">
      <alignment horizontal="center" vertical="bottom"/>
    </xf>
    <xf numFmtId="164" fontId="7" fillId="19" borderId="72" applyAlignment="1" applyProtection="1" pivotButton="0" quotePrefix="0" xfId="0">
      <alignment horizontal="general" vertical="bottom" shrinkToFit="1"/>
      <protection locked="0" hidden="0"/>
    </xf>
    <xf numFmtId="0" fontId="7" fillId="0" borderId="47" applyAlignment="1" pivotButton="0" quotePrefix="0" xfId="0">
      <alignment horizontal="center" vertical="bottom"/>
    </xf>
    <xf numFmtId="0" fontId="7" fillId="20" borderId="73" applyAlignment="1" applyProtection="1" pivotButton="0" quotePrefix="0" xfId="0">
      <alignment horizontal="general" vertical="bottom"/>
      <protection locked="0" hidden="0"/>
    </xf>
    <xf numFmtId="0" fontId="7" fillId="19" borderId="60" applyAlignment="1" applyProtection="1" pivotButton="0" quotePrefix="0" xfId="0">
      <alignment horizontal="general" vertical="bottom"/>
      <protection locked="0" hidden="0"/>
    </xf>
    <xf numFmtId="0" fontId="7" fillId="20" borderId="74" applyAlignment="1" applyProtection="1" pivotButton="0" quotePrefix="0" xfId="0">
      <alignment horizontal="general" vertical="bottom"/>
      <protection locked="0" hidden="0"/>
    </xf>
    <xf numFmtId="0" fontId="7" fillId="5" borderId="0" applyAlignment="1" applyProtection="1" pivotButton="0" quotePrefix="0" xfId="0">
      <alignment horizontal="center" vertical="bottom"/>
      <protection locked="0" hidden="0"/>
    </xf>
    <xf numFmtId="0" fontId="7" fillId="5" borderId="0" applyAlignment="1" applyProtection="1" pivotButton="0" quotePrefix="0" xfId="0">
      <alignment horizontal="general" vertical="bottom"/>
      <protection locked="0" hidden="0"/>
    </xf>
    <xf numFmtId="0" fontId="15" fillId="5" borderId="2" applyAlignment="1" applyProtection="1" pivotButton="0" quotePrefix="0" xfId="0">
      <alignment horizontal="center" vertical="center"/>
      <protection locked="0" hidden="0"/>
    </xf>
    <xf numFmtId="0" fontId="14" fillId="10" borderId="2" applyAlignment="1" applyProtection="1" pivotButton="0" quotePrefix="0" xfId="0">
      <alignment horizontal="center" vertical="center" wrapText="1"/>
      <protection locked="0" hidden="0"/>
    </xf>
    <xf numFmtId="0" fontId="14" fillId="10" borderId="48" applyAlignment="1" applyProtection="1" pivotButton="0" quotePrefix="0" xfId="0">
      <alignment horizontal="center" vertical="center" wrapText="1"/>
      <protection locked="0" hidden="0"/>
    </xf>
    <xf numFmtId="0" fontId="26" fillId="11" borderId="47" applyAlignment="1" applyProtection="1" pivotButton="0" quotePrefix="0" xfId="0">
      <alignment horizontal="center" vertical="center" wrapText="1"/>
      <protection locked="0" hidden="0"/>
    </xf>
    <xf numFmtId="0" fontId="26" fillId="11" borderId="48" applyAlignment="1" applyProtection="1" pivotButton="0" quotePrefix="0" xfId="0">
      <alignment horizontal="center" vertical="center" wrapText="1"/>
      <protection locked="0" hidden="0"/>
    </xf>
    <xf numFmtId="0" fontId="15" fillId="10" borderId="2" applyAlignment="1" applyProtection="1" pivotButton="0" quotePrefix="0" xfId="0">
      <alignment horizontal="center" vertical="center" wrapText="1"/>
      <protection locked="0" hidden="0"/>
    </xf>
    <xf numFmtId="0" fontId="12" fillId="0" borderId="75" applyAlignment="1" applyProtection="1" pivotButton="0" quotePrefix="0" xfId="0">
      <alignment horizontal="center" vertical="center" wrapText="1"/>
      <protection locked="0" hidden="0"/>
    </xf>
    <xf numFmtId="0" fontId="7" fillId="21" borderId="75" applyAlignment="1" applyProtection="1" pivotButton="0" quotePrefix="0" xfId="0">
      <alignment horizontal="center" vertical="center" wrapText="1"/>
      <protection locked="0" hidden="0"/>
    </xf>
    <xf numFmtId="0" fontId="7" fillId="0" borderId="70" applyAlignment="1" applyProtection="1" pivotButton="0" quotePrefix="0" xfId="0">
      <alignment horizontal="general" vertical="center" wrapText="1"/>
      <protection locked="0" hidden="0"/>
    </xf>
    <xf numFmtId="0" fontId="7" fillId="0" borderId="59" applyAlignment="1" applyProtection="1" pivotButton="0" quotePrefix="0" xfId="0">
      <alignment horizontal="general" vertical="center" wrapText="1"/>
      <protection locked="0" hidden="0"/>
    </xf>
    <xf numFmtId="0" fontId="7" fillId="11" borderId="76" applyAlignment="1" applyProtection="1" pivotButton="0" quotePrefix="0" xfId="0">
      <alignment horizontal="center" vertical="center" wrapText="1"/>
      <protection locked="0" hidden="0"/>
    </xf>
    <xf numFmtId="0" fontId="7" fillId="11" borderId="77" applyAlignment="1" applyProtection="1" pivotButton="0" quotePrefix="0" xfId="0">
      <alignment horizontal="center" vertical="center" wrapText="1"/>
      <protection locked="0" hidden="0"/>
    </xf>
    <xf numFmtId="0" fontId="7" fillId="0" borderId="78" applyAlignment="1" applyProtection="1" pivotButton="0" quotePrefix="0" xfId="0">
      <alignment horizontal="general" vertical="center" wrapText="1"/>
      <protection locked="0" hidden="0"/>
    </xf>
    <xf numFmtId="0" fontId="7" fillId="0" borderId="75" applyAlignment="1" applyProtection="1" pivotButton="0" quotePrefix="0" xfId="0">
      <alignment horizontal="general" vertical="center" wrapText="1"/>
      <protection locked="0" hidden="0"/>
    </xf>
    <xf numFmtId="0" fontId="7" fillId="11" borderId="12" applyAlignment="1" applyProtection="1" pivotButton="0" quotePrefix="0" xfId="0">
      <alignment horizontal="general" vertical="center" wrapText="1"/>
      <protection locked="0" hidden="0"/>
    </xf>
    <xf numFmtId="0" fontId="12" fillId="0" borderId="79" applyAlignment="1" applyProtection="1" pivotButton="0" quotePrefix="0" xfId="0">
      <alignment horizontal="center" vertical="center" wrapText="1"/>
      <protection locked="0" hidden="0"/>
    </xf>
    <xf numFmtId="0" fontId="7" fillId="21" borderId="80" applyAlignment="1" applyProtection="1" pivotButton="0" quotePrefix="0" xfId="0">
      <alignment horizontal="center" vertical="center" wrapText="1"/>
      <protection locked="0" hidden="0"/>
    </xf>
    <xf numFmtId="0" fontId="7" fillId="0" borderId="66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0" fontId="7" fillId="11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0" applyProtection="1" pivotButton="0" quotePrefix="0" xfId="0">
      <protection locked="0" hidden="0"/>
    </xf>
    <xf numFmtId="0" fontId="7" fillId="0" borderId="65" applyAlignment="1" applyProtection="1" pivotButton="0" quotePrefix="0" xfId="0">
      <alignment horizontal="general" vertical="center" wrapText="1"/>
      <protection locked="0" hidden="0"/>
    </xf>
    <xf numFmtId="0" fontId="7" fillId="0" borderId="80" applyAlignment="1" applyProtection="1" pivotButton="0" quotePrefix="0" xfId="0">
      <alignment horizontal="general" vertical="center" wrapText="1"/>
      <protection locked="0" hidden="0"/>
    </xf>
    <xf numFmtId="0" fontId="7" fillId="0" borderId="81" applyAlignment="1" applyProtection="1" pivotButton="0" quotePrefix="0" xfId="0">
      <alignment horizontal="general" vertical="center" wrapText="1"/>
      <protection locked="0" hidden="0"/>
    </xf>
    <xf numFmtId="0" fontId="7" fillId="0" borderId="22" applyAlignment="1" applyProtection="1" pivotButton="0" quotePrefix="0" xfId="0">
      <alignment horizontal="general" vertical="center" wrapText="1"/>
      <protection locked="0" hidden="0"/>
    </xf>
    <xf numFmtId="0" fontId="0" fillId="0" borderId="129" applyProtection="1" pivotButton="0" quotePrefix="0" xfId="0">
      <protection locked="0" hidden="0"/>
    </xf>
    <xf numFmtId="0" fontId="12" fillId="0" borderId="71" applyAlignment="1" applyProtection="1" pivotButton="0" quotePrefix="0" xfId="0">
      <alignment horizontal="center" vertical="center" wrapText="1"/>
      <protection locked="0" hidden="0"/>
    </xf>
    <xf numFmtId="0" fontId="7" fillId="21" borderId="47" applyAlignment="1" applyProtection="1" pivotButton="0" quotePrefix="0" xfId="0">
      <alignment horizontal="center" vertical="center" wrapText="1"/>
      <protection locked="0" hidden="0"/>
    </xf>
    <xf numFmtId="0" fontId="20" fillId="11" borderId="82" applyAlignment="1" applyProtection="1" pivotButton="0" quotePrefix="0" xfId="0">
      <alignment horizontal="center" vertical="center" wrapText="1"/>
      <protection locked="0" hidden="0"/>
    </xf>
    <xf numFmtId="0" fontId="0" fillId="0" borderId="73" applyProtection="1" pivotButton="0" quotePrefix="0" xfId="0">
      <protection locked="0" hidden="0"/>
    </xf>
    <xf numFmtId="0" fontId="7" fillId="0" borderId="68" applyAlignment="1" applyProtection="1" pivotButton="0" quotePrefix="0" xfId="0">
      <alignment horizontal="general" vertical="center" wrapText="1"/>
      <protection locked="0" hidden="0"/>
    </xf>
    <xf numFmtId="0" fontId="7" fillId="0" borderId="83" applyAlignment="1" applyProtection="1" pivotButton="0" quotePrefix="0" xfId="0">
      <alignment horizontal="general" vertical="center" wrapText="1"/>
      <protection locked="0" hidden="0"/>
    </xf>
    <xf numFmtId="0" fontId="7" fillId="0" borderId="47" applyAlignment="1" applyProtection="1" pivotButton="0" quotePrefix="0" xfId="0">
      <alignment horizontal="general" vertical="center" wrapText="1"/>
      <protection locked="0" hidden="0"/>
    </xf>
    <xf numFmtId="0" fontId="7" fillId="11" borderId="48" applyAlignment="1" applyProtection="1" pivotButton="0" quotePrefix="0" xfId="0">
      <alignment horizontal="general" vertical="center" wrapText="1"/>
      <protection locked="0" hidden="0"/>
    </xf>
    <xf numFmtId="0" fontId="15" fillId="10" borderId="47" applyAlignment="1" applyProtection="1" pivotButton="0" quotePrefix="0" xfId="0">
      <alignment horizontal="center" vertical="center" wrapText="1"/>
      <protection locked="0" hidden="0"/>
    </xf>
    <xf numFmtId="0" fontId="0" fillId="0" borderId="48" applyProtection="1" pivotButton="0" quotePrefix="0" xfId="0">
      <protection locked="0" hidden="0"/>
    </xf>
    <xf numFmtId="0" fontId="7" fillId="11" borderId="84" applyAlignment="1" applyProtection="1" pivotButton="0" quotePrefix="0" xfId="0">
      <alignment horizontal="center" vertical="center" wrapText="1"/>
      <protection locked="0" hidden="0"/>
    </xf>
    <xf numFmtId="0" fontId="0" fillId="0" borderId="92" applyProtection="1" pivotButton="0" quotePrefix="0" xfId="0">
      <protection locked="0" hidden="0"/>
    </xf>
    <xf numFmtId="0" fontId="7" fillId="0" borderId="85" applyAlignment="1" applyProtection="1" pivotButton="0" quotePrefix="0" xfId="0">
      <alignment horizontal="general" vertical="center" wrapText="1"/>
      <protection locked="0" hidden="0"/>
    </xf>
    <xf numFmtId="0" fontId="7" fillId="11" borderId="30" applyAlignment="1" applyProtection="1" pivotButton="0" quotePrefix="0" xfId="0">
      <alignment horizontal="center" vertical="center" wrapText="1"/>
      <protection locked="0" hidden="0"/>
    </xf>
    <xf numFmtId="0" fontId="7" fillId="21" borderId="79" applyAlignment="1" applyProtection="1" pivotButton="0" quotePrefix="0" xfId="0">
      <alignment horizontal="center" vertical="center" wrapText="1"/>
      <protection locked="0" hidden="0"/>
    </xf>
    <xf numFmtId="0" fontId="0" fillId="0" borderId="8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7" fillId="21" borderId="71" applyAlignment="1" applyProtection="1" pivotButton="0" quotePrefix="0" xfId="0">
      <alignment horizontal="center" vertical="center" wrapText="1"/>
      <protection locked="0" hidden="0"/>
    </xf>
    <xf numFmtId="0" fontId="0" fillId="0" borderId="91" applyProtection="1" pivotButton="0" quotePrefix="0" xfId="0">
      <protection locked="0" hidden="0"/>
    </xf>
    <xf numFmtId="0" fontId="7" fillId="5" borderId="0" applyAlignment="1" pivotButton="0" quotePrefix="0" xfId="0">
      <alignment horizontal="center" vertical="bottom"/>
    </xf>
    <xf numFmtId="0" fontId="15" fillId="0" borderId="49" applyAlignment="1" pivotButton="0" quotePrefix="0" xfId="0">
      <alignment horizontal="left" vertical="center" wrapText="1"/>
    </xf>
    <xf numFmtId="0" fontId="29" fillId="22" borderId="47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 wrapText="1"/>
    </xf>
    <xf numFmtId="0" fontId="0" fillId="0" borderId="47" pivotButton="0" quotePrefix="0" xfId="0"/>
    <xf numFmtId="0" fontId="22" fillId="23" borderId="2" applyAlignment="1" pivotButton="0" quotePrefix="0" xfId="0">
      <alignment horizontal="center" vertical="center" wrapText="1"/>
    </xf>
    <xf numFmtId="0" fontId="23" fillId="22" borderId="47" applyAlignment="1" pivotButton="0" quotePrefix="0" xfId="0">
      <alignment horizontal="center" vertical="center"/>
    </xf>
    <xf numFmtId="0" fontId="7" fillId="24" borderId="1" applyAlignment="1" applyProtection="1" pivotButton="0" quotePrefix="0" xfId="0">
      <alignment horizontal="left" vertical="top" wrapText="1"/>
      <protection locked="0" hidden="0"/>
    </xf>
    <xf numFmtId="164" fontId="7" fillId="5" borderId="86" applyAlignment="1" applyProtection="1" pivotButton="0" quotePrefix="0" xfId="0">
      <alignment horizontal="general" vertical="bottom" shrinkToFit="1"/>
      <protection locked="0" hidden="0"/>
    </xf>
    <xf numFmtId="0" fontId="21" fillId="0" borderId="87" applyAlignment="1" pivotButton="0" quotePrefix="0" xfId="0">
      <alignment horizontal="center" vertical="center"/>
    </xf>
    <xf numFmtId="164" fontId="21" fillId="0" borderId="2" applyAlignment="1" pivotButton="0" quotePrefix="0" xfId="0">
      <alignment horizontal="right" vertical="center" shrinkToFit="1"/>
    </xf>
    <xf numFmtId="164" fontId="21" fillId="0" borderId="30" applyAlignment="1" pivotButton="0" quotePrefix="0" xfId="0">
      <alignment horizontal="right" vertical="center" shrinkToFit="1"/>
    </xf>
    <xf numFmtId="0" fontId="3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21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7E6E6"/>
      <rgbColor rgb="FFFF00FF"/>
      <rgbColor rgb="FF00FFFF"/>
      <rgbColor rgb="FF800000"/>
      <rgbColor rgb="FF008000"/>
      <rgbColor rgb="FF2B0749"/>
      <rgbColor rgb="FF548235"/>
      <rgbColor rgb="FF800080"/>
      <rgbColor rgb="FF008080"/>
      <rgbColor rgb="FFBFBFBF"/>
      <rgbColor rgb="FF808080"/>
      <rgbColor rgb="FF5B9BD5"/>
      <rgbColor rgb="FF7030A0"/>
      <rgbColor rgb="FFFFF2CC"/>
      <rgbColor rgb="FFDAE3F3"/>
      <rgbColor rgb="FF660066"/>
      <rgbColor rgb="FFFF8080"/>
      <rgbColor rgb="FF0066CC"/>
      <rgbColor rgb="FFC6D1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699"/>
      <rgbColor rgb="FFB4C7E7"/>
      <rgbColor rgb="FFF4B183"/>
      <rgbColor rgb="FFB3A3E1"/>
      <rgbColor rgb="FFFAE1BC"/>
      <rgbColor rgb="FF3366FF"/>
      <rgbColor rgb="FFBDD7EE"/>
      <rgbColor rgb="FF99CC00"/>
      <rgbColor rgb="FFFBE5D6"/>
      <rgbColor rgb="FFBF9000"/>
      <rgbColor rgb="FFC55A11"/>
      <rgbColor rgb="FF666699"/>
      <rgbColor rgb="FFA9D18E"/>
      <rgbColor rgb="FF203864"/>
      <rgbColor rgb="FF339966"/>
      <rgbColor rgb="FF0D0D0D"/>
      <rgbColor rgb="FF333300"/>
      <rgbColor rgb="FF843C0B"/>
      <rgbColor rgb="FF8F5303"/>
      <rgbColor rgb="FF1F4E79"/>
      <rgbColor rgb="FF222A3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fosystechnologies-my.sharepoint.com/Users/shyju_lakshman/AppData/Local/Microsoft/Windows/Temporary%20Internet%20Files/Content.Outlook/S8Q2VJ37/GSTR_3B_Excel_Workbook_Utility_V2.7_PY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STR-3B"/>
      <sheetName val="Master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26"/>
  <sheetViews>
    <sheetView showFormulas="0" showGridLines="0" showRowColHeaders="1" showZeros="1" rightToLeft="0" tabSelected="0" showOutlineSymbols="1" defaultGridColor="1" view="normal" topLeftCell="A1" colorId="64" zoomScale="83" zoomScaleNormal="83" zoomScalePageLayoutView="100" workbookViewId="0">
      <pane xSplit="0" ySplit="3" topLeftCell="A89" activePane="bottomLeft" state="frozen"/>
      <selection pane="topLeft" activeCell="A1" activeCellId="0" sqref="A1"/>
      <selection pane="bottomLeft" activeCell="I5" activeCellId="0" sqref="I5"/>
    </sheetView>
  </sheetViews>
  <sheetFormatPr baseColWidth="8" defaultColWidth="9.1796875" defaultRowHeight="15" zeroHeight="1" outlineLevelRow="0"/>
  <cols>
    <col width="4.54" customWidth="1" style="180" min="1" max="1"/>
    <col width="59.27" customWidth="1" style="181" min="2" max="2"/>
    <col width="20.72" customWidth="1" style="181" min="3" max="3"/>
    <col width="21.28" customWidth="1" style="181" min="4" max="4"/>
    <col width="19.82" customWidth="1" style="181" min="5" max="5"/>
    <col width="20.18" customWidth="1" style="181" min="6" max="6"/>
    <col width="19.82" customWidth="1" style="181" min="7" max="7"/>
    <col width="21.45" customWidth="1" style="181" min="8" max="8"/>
    <col width="11" customWidth="1" style="181" min="9" max="9"/>
    <col width="11.72" customWidth="1" style="181" min="10" max="10"/>
    <col width="9.18" customWidth="1" style="181" min="11" max="11"/>
    <col width="1.54" customWidth="1" style="181" min="12" max="12"/>
    <col width="9.18" customWidth="1" style="181" min="13" max="13"/>
    <col hidden="1" width="9.18" customWidth="1" style="181" min="14" max="1024"/>
  </cols>
  <sheetData>
    <row r="1" ht="15.75" customHeight="1" s="182"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</row>
    <row r="2" ht="15.75" customHeight="1" s="182">
      <c r="B2" s="183" t="inlineStr">
        <is>
          <t>GSTR-3B
[See rule 61(5)]</t>
        </is>
      </c>
      <c r="C2" s="184" t="n"/>
      <c r="D2" s="184" t="n"/>
      <c r="E2" s="184" t="n"/>
      <c r="F2" s="184" t="n"/>
      <c r="G2" s="184" t="n"/>
      <c r="H2" s="184" t="n"/>
      <c r="I2" s="184" t="n"/>
      <c r="J2" s="184" t="n"/>
      <c r="K2" s="184" t="n"/>
      <c r="L2" s="185" t="n"/>
      <c r="M2" s="180" t="n"/>
    </row>
    <row r="3" ht="78.75" customHeight="1" s="182">
      <c r="B3" s="186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8" t="n"/>
      <c r="M3" s="180" t="n"/>
    </row>
    <row r="4" ht="16.5" customHeight="1" s="182">
      <c r="B4" s="189" t="n"/>
      <c r="C4" s="189" t="n"/>
      <c r="D4" s="189" t="n"/>
      <c r="E4" s="189" t="n"/>
      <c r="F4" s="189" t="n"/>
      <c r="G4" s="189" t="n"/>
      <c r="H4" s="189" t="n"/>
      <c r="I4" s="189" t="n"/>
      <c r="J4" s="180" t="n"/>
      <c r="K4" s="180" t="n"/>
      <c r="L4" s="180" t="n"/>
      <c r="M4" s="180" t="n"/>
    </row>
    <row r="5" ht="15" customHeight="1" s="182">
      <c r="B5" s="190" t="inlineStr">
        <is>
          <t>GSTIN</t>
        </is>
      </c>
      <c r="C5" s="191" t="n"/>
      <c r="D5" s="192" t="n"/>
      <c r="E5" s="193" t="inlineStr">
        <is>
          <t>Year</t>
        </is>
      </c>
      <c r="F5" s="194" t="n"/>
      <c r="G5" s="195" t="n"/>
      <c r="H5" s="196" t="inlineStr">
        <is>
          <t>Sheet Status:</t>
        </is>
      </c>
      <c r="I5" s="197" t="n"/>
      <c r="J5" s="198" t="n"/>
      <c r="K5" s="180" t="n"/>
      <c r="L5" s="180" t="n"/>
      <c r="M5" s="180" t="n"/>
    </row>
    <row r="6" ht="15" customHeight="1" s="182">
      <c r="B6" s="199" t="inlineStr">
        <is>
          <t>Legal name of the registered person</t>
        </is>
      </c>
      <c r="C6" s="200" t="n"/>
      <c r="D6" s="201" t="n"/>
      <c r="E6" s="202" t="inlineStr">
        <is>
          <t>Month</t>
        </is>
      </c>
      <c r="F6" s="203" t="n"/>
      <c r="G6" s="200" t="n"/>
      <c r="H6" s="204" t="n"/>
      <c r="I6" s="205" t="n"/>
      <c r="J6" s="206" t="n"/>
      <c r="K6" s="180" t="n"/>
      <c r="L6" s="180" t="n"/>
      <c r="M6" s="180" t="n"/>
    </row>
    <row r="7" ht="15" customFormat="1" customHeight="1" s="180">
      <c r="B7" s="207" t="n"/>
      <c r="C7" s="207" t="n"/>
      <c r="D7" s="207" t="n"/>
      <c r="E7" s="207" t="n"/>
      <c r="F7" s="207" t="n"/>
      <c r="G7" s="207" t="n"/>
      <c r="H7" s="207" t="n"/>
    </row>
    <row r="8" ht="21" customHeight="1" s="182">
      <c r="B8" s="208" t="inlineStr">
        <is>
          <t>3.1 Details of Outward Supplies and inward supplies liable to reverse charge</t>
        </is>
      </c>
      <c r="C8" s="209" t="n"/>
      <c r="D8" s="209" t="n"/>
      <c r="E8" s="209" t="n"/>
      <c r="F8" s="209" t="n"/>
      <c r="G8" s="210" t="n"/>
      <c r="H8" s="180" t="n"/>
      <c r="I8" s="180" t="n"/>
      <c r="J8" s="180" t="n"/>
      <c r="K8" s="180" t="n"/>
      <c r="L8" s="180" t="n"/>
      <c r="M8" s="180" t="n"/>
    </row>
    <row r="9" ht="48.75" customHeight="1" s="182">
      <c r="B9" s="211" t="inlineStr">
        <is>
          <t>Nature of Supplies</t>
        </is>
      </c>
      <c r="C9" s="212" t="inlineStr">
        <is>
          <t>Total Taxable value</t>
        </is>
      </c>
      <c r="D9" s="212" t="inlineStr">
        <is>
          <t>Integrated Tax</t>
        </is>
      </c>
      <c r="E9" s="212" t="inlineStr">
        <is>
          <t>Central Tax</t>
        </is>
      </c>
      <c r="F9" s="212" t="inlineStr">
        <is>
          <t>State/UT Tax</t>
        </is>
      </c>
      <c r="G9" s="212" t="inlineStr">
        <is>
          <t>Cess</t>
        </is>
      </c>
      <c r="H9" s="180" t="n"/>
      <c r="I9" s="180" t="n"/>
      <c r="J9" s="180" t="n"/>
      <c r="K9" s="180" t="n"/>
      <c r="L9" s="180" t="n"/>
      <c r="M9" s="180" t="n"/>
    </row>
    <row r="10" ht="15.65" customHeight="1" s="182">
      <c r="B10" s="213" t="n">
        <v>1</v>
      </c>
      <c r="C10" s="214" t="n">
        <v>2</v>
      </c>
      <c r="D10" s="214" t="n">
        <v>3</v>
      </c>
      <c r="E10" s="214" t="n">
        <v>4</v>
      </c>
      <c r="F10" s="214" t="n">
        <v>5</v>
      </c>
      <c r="G10" s="215" t="n">
        <v>6</v>
      </c>
      <c r="H10" s="180" t="n"/>
      <c r="I10" s="180" t="n"/>
      <c r="J10" s="180" t="n"/>
      <c r="K10" s="180" t="n"/>
      <c r="L10" s="180" t="n"/>
      <c r="M10" s="180" t="n"/>
    </row>
    <row r="11" ht="29.85" customHeight="1" s="182">
      <c r="B11" s="216" t="inlineStr">
        <is>
          <t>(a) Outward Taxable  supplies  (other than zero rated, nil rated and exempted)</t>
        </is>
      </c>
      <c r="C11" s="217" t="n">
        <v>0</v>
      </c>
      <c r="D11" s="217" t="n">
        <v>0</v>
      </c>
      <c r="E11" s="217" t="n">
        <v>0</v>
      </c>
      <c r="F11" s="218">
        <f>E11</f>
        <v/>
      </c>
      <c r="G11" s="217" t="n">
        <v>0</v>
      </c>
      <c r="H11" s="180" t="n"/>
      <c r="I11" s="180" t="n"/>
      <c r="J11" s="180" t="n"/>
      <c r="K11" s="180" t="n"/>
      <c r="L11" s="180" t="n"/>
      <c r="M11" s="180" t="n"/>
    </row>
    <row r="12" ht="15.65" customHeight="1" s="182">
      <c r="B12" s="219" t="inlineStr">
        <is>
          <t>(b) Outward Taxable  supplies  (zero rated )</t>
        </is>
      </c>
      <c r="C12" s="217" t="n">
        <v>0</v>
      </c>
      <c r="D12" s="217" t="n">
        <v>0</v>
      </c>
      <c r="E12" s="220" t="n"/>
      <c r="F12" s="221" t="n"/>
      <c r="G12" s="217" t="n">
        <v>0</v>
      </c>
      <c r="H12" s="180" t="n"/>
      <c r="I12" s="180" t="n"/>
      <c r="J12" s="180" t="n"/>
      <c r="K12" s="180" t="n"/>
      <c r="L12" s="180" t="n"/>
      <c r="M12" s="180" t="n"/>
    </row>
    <row r="13" ht="15.65" customHeight="1" s="182">
      <c r="B13" s="219" t="inlineStr">
        <is>
          <t>(c) Other Outward Taxable  supplies (Nil rated, exempted)</t>
        </is>
      </c>
      <c r="C13" s="217" t="n">
        <v>0</v>
      </c>
      <c r="D13" s="222" t="n"/>
      <c r="E13" s="223" t="n"/>
      <c r="F13" s="223" t="n"/>
      <c r="G13" s="224" t="n"/>
      <c r="H13" s="180" t="n"/>
      <c r="I13" s="180" t="n"/>
      <c r="J13" s="180" t="n"/>
      <c r="K13" s="180" t="n"/>
      <c r="L13" s="180" t="n"/>
      <c r="M13" s="180" t="n"/>
    </row>
    <row r="14" ht="15.65" customHeight="1" s="182">
      <c r="B14" s="219" t="inlineStr">
        <is>
          <t xml:space="preserve">(d) Inward supplies (liable to reverse charge) </t>
        </is>
      </c>
      <c r="C14" s="217" t="n">
        <v>0</v>
      </c>
      <c r="D14" s="217" t="n">
        <v>0</v>
      </c>
      <c r="E14" s="217" t="n">
        <v>0</v>
      </c>
      <c r="F14" s="225">
        <f>E14</f>
        <v/>
      </c>
      <c r="G14" s="217" t="n">
        <v>0</v>
      </c>
      <c r="H14" s="180" t="n"/>
      <c r="I14" s="180" t="n"/>
      <c r="J14" s="180" t="n"/>
      <c r="K14" s="180" t="n"/>
      <c r="L14" s="180" t="n"/>
      <c r="M14" s="180" t="n"/>
    </row>
    <row r="15" ht="15.65" customHeight="1" s="182">
      <c r="B15" s="226" t="inlineStr">
        <is>
          <t>(e) Non-GST Outward supplies</t>
        </is>
      </c>
      <c r="C15" s="217" t="n">
        <v>0</v>
      </c>
      <c r="D15" s="227" t="n"/>
      <c r="E15" s="228" t="n"/>
      <c r="F15" s="228" t="n"/>
      <c r="G15" s="229" t="n"/>
      <c r="H15" s="180" t="n"/>
      <c r="I15" s="180" t="n"/>
      <c r="J15" s="180" t="n"/>
      <c r="K15" s="180" t="n"/>
      <c r="L15" s="180" t="n"/>
      <c r="M15" s="180" t="n"/>
    </row>
    <row r="16" ht="15.65" customHeight="1" s="182">
      <c r="B16" s="230" t="inlineStr">
        <is>
          <t>Total</t>
        </is>
      </c>
      <c r="C16" s="231">
        <f>SUM(C11:C15)</f>
        <v/>
      </c>
      <c r="D16" s="232">
        <f>SUM(D11:D12) + D14</f>
        <v/>
      </c>
      <c r="E16" s="232">
        <f>E11 + E14</f>
        <v/>
      </c>
      <c r="F16" s="232">
        <f>F11 + F14</f>
        <v/>
      </c>
      <c r="G16" s="233">
        <f>SUM(G11:G12) + G14</f>
        <v/>
      </c>
      <c r="H16" s="180" t="n"/>
      <c r="I16" s="180" t="n"/>
      <c r="J16" s="180" t="n"/>
      <c r="K16" s="180" t="n"/>
      <c r="L16" s="180" t="n"/>
      <c r="M16" s="180" t="n"/>
    </row>
    <row r="17" ht="15" customHeight="1" s="182"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</row>
    <row r="18" ht="15" customHeight="1" s="182"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</row>
    <row r="19" hidden="1" ht="17.9" customHeight="1" s="182">
      <c r="B19" s="234" t="inlineStr">
        <is>
          <t>3.1.1 Details of supplies notified under section 9(5) of the CGST Act, 2017 and corresponding provision in IGST/UTGST/SGST Acts</t>
        </is>
      </c>
      <c r="C19" s="209" t="n"/>
      <c r="D19" s="209" t="n"/>
      <c r="E19" s="209" t="n"/>
      <c r="F19" s="209" t="n"/>
      <c r="G19" s="210" t="n"/>
      <c r="H19" s="180" t="n"/>
      <c r="I19" s="180" t="n"/>
      <c r="J19" s="180" t="n"/>
      <c r="K19" s="180" t="n"/>
      <c r="L19" s="180" t="n"/>
      <c r="M19" s="180" t="n"/>
    </row>
    <row r="20" hidden="1" ht="31.3" customHeight="1" s="182">
      <c r="B20" s="235" t="inlineStr">
        <is>
          <t>Nature of Supplies</t>
        </is>
      </c>
      <c r="C20" s="236" t="inlineStr">
        <is>
          <t>Total Taxable value</t>
        </is>
      </c>
      <c r="D20" s="236" t="inlineStr">
        <is>
          <t>Integrated Tax</t>
        </is>
      </c>
      <c r="E20" s="236" t="inlineStr">
        <is>
          <t>Central Tax</t>
        </is>
      </c>
      <c r="F20" s="236" t="inlineStr">
        <is>
          <t>State/UT Tax</t>
        </is>
      </c>
      <c r="G20" s="236" t="inlineStr">
        <is>
          <t>Cess</t>
        </is>
      </c>
      <c r="H20" s="180" t="n"/>
      <c r="I20" s="180" t="n"/>
      <c r="J20" s="180" t="n"/>
      <c r="K20" s="180" t="n"/>
      <c r="L20" s="180" t="n"/>
      <c r="M20" s="180" t="n"/>
    </row>
    <row r="21" hidden="1" ht="15.65" customHeight="1" s="182">
      <c r="B21" s="213" t="n">
        <v>1</v>
      </c>
      <c r="C21" s="214" t="n">
        <v>2</v>
      </c>
      <c r="D21" s="214" t="n">
        <v>3</v>
      </c>
      <c r="E21" s="214" t="n">
        <v>4</v>
      </c>
      <c r="F21" s="214" t="n">
        <v>5</v>
      </c>
      <c r="G21" s="215" t="n">
        <v>6</v>
      </c>
      <c r="H21" s="180" t="n"/>
      <c r="I21" s="180" t="n"/>
      <c r="J21" s="180" t="n"/>
      <c r="K21" s="180" t="n"/>
      <c r="L21" s="180" t="n"/>
      <c r="M21" s="180" t="n"/>
    </row>
    <row r="22" hidden="1" ht="44" customFormat="1" customHeight="1" s="180">
      <c r="B22" s="216" t="inlineStr">
        <is>
          <t>(i) Taxable supplies on which electronic commerce operator pays tax u/s 9(5)
[to be furnished by electronic commerce operator]</t>
        </is>
      </c>
      <c r="C22" s="217" t="n">
        <v>0</v>
      </c>
      <c r="D22" s="217" t="n">
        <v>0</v>
      </c>
      <c r="E22" s="217" t="n">
        <v>0</v>
      </c>
      <c r="F22" s="218">
        <f>E22</f>
        <v/>
      </c>
      <c r="G22" s="217" t="n">
        <v>0</v>
      </c>
    </row>
    <row r="23" hidden="1" ht="72.34999999999999" customFormat="1" customHeight="1" s="180">
      <c r="B23" s="237" t="inlineStr">
        <is>
          <t>(ii) Taxable supplies made by registered person through electronic commerce operator, on which electronic commerce operator is required to pay tax u/s 9(5)
[to be furnished by registered person making supplies through electronic commerce operator]</t>
        </is>
      </c>
      <c r="C23" s="217" t="n">
        <v>0</v>
      </c>
      <c r="D23" s="238" t="n"/>
      <c r="E23" s="228" t="n"/>
      <c r="F23" s="228" t="n"/>
      <c r="G23" s="229" t="n"/>
    </row>
    <row r="24" hidden="1" ht="15.65" customFormat="1" customHeight="1" s="180">
      <c r="B24" s="239" t="inlineStr">
        <is>
          <t>Total</t>
        </is>
      </c>
      <c r="C24" s="240">
        <f>SUM(C22:C23)</f>
        <v/>
      </c>
      <c r="D24" s="240">
        <f>D22</f>
        <v/>
      </c>
      <c r="E24" s="240">
        <f>E22</f>
        <v/>
      </c>
      <c r="F24" s="241">
        <f>F22</f>
        <v/>
      </c>
      <c r="G24" s="240">
        <f>G22</f>
        <v/>
      </c>
    </row>
    <row r="25" hidden="1" ht="15" customFormat="1" customHeight="1" s="180"/>
    <row r="26" ht="15" customFormat="1" customHeight="1" s="180"/>
    <row r="27" ht="21.75" customHeight="1" s="182">
      <c r="B27" s="242" t="inlineStr">
        <is>
          <t>4. Eligible ITC</t>
        </is>
      </c>
      <c r="C27" s="243" t="n"/>
      <c r="D27" s="243" t="n"/>
      <c r="E27" s="243" t="n"/>
      <c r="F27" s="244" t="n"/>
      <c r="G27" s="180" t="n"/>
      <c r="H27" s="180" t="n"/>
      <c r="I27" s="180" t="n"/>
      <c r="J27" s="180" t="n"/>
      <c r="K27" s="180" t="n"/>
      <c r="L27" s="180" t="n"/>
      <c r="M27" s="180" t="n"/>
    </row>
    <row r="28" ht="33.75" customHeight="1" s="182">
      <c r="B28" s="245" t="inlineStr">
        <is>
          <t>(1) As per Rule 42 &amp; 43 of SGST/CGST rules</t>
        </is>
      </c>
      <c r="C28" s="246" t="inlineStr">
        <is>
          <t>Integrated Tax</t>
        </is>
      </c>
      <c r="D28" s="246" t="inlineStr">
        <is>
          <t>Central Tax</t>
        </is>
      </c>
      <c r="E28" s="246" t="inlineStr">
        <is>
          <t>State/UT Tax</t>
        </is>
      </c>
      <c r="F28" s="246" t="inlineStr">
        <is>
          <t>Cess</t>
        </is>
      </c>
      <c r="G28" s="180" t="n"/>
      <c r="H28" s="180" t="n"/>
      <c r="I28" s="180" t="n"/>
      <c r="J28" s="180" t="n"/>
      <c r="K28" s="180" t="n"/>
      <c r="L28" s="180" t="n"/>
      <c r="M28" s="180" t="n"/>
    </row>
    <row r="29" ht="15.65" customHeight="1" s="182">
      <c r="B29" s="247" t="n">
        <v>1</v>
      </c>
      <c r="C29" s="248" t="n">
        <v>2</v>
      </c>
      <c r="D29" s="248" t="n">
        <v>3</v>
      </c>
      <c r="E29" s="248" t="n">
        <v>4</v>
      </c>
      <c r="F29" s="248" t="n">
        <v>5</v>
      </c>
      <c r="G29" s="180" t="n"/>
      <c r="H29" s="180" t="n"/>
      <c r="I29" s="180" t="n"/>
      <c r="J29" s="180" t="n"/>
      <c r="K29" s="180" t="n"/>
      <c r="L29" s="180" t="n"/>
      <c r="M29" s="180" t="n"/>
    </row>
    <row r="30" ht="15.65" customHeight="1" s="182">
      <c r="B30" s="249" t="inlineStr">
        <is>
          <t>(A) ITC Available (Whether in full or part)</t>
        </is>
      </c>
      <c r="C30" s="250" t="n"/>
      <c r="D30" s="251" t="n"/>
      <c r="E30" s="251" t="n"/>
      <c r="F30" s="252" t="n"/>
      <c r="G30" s="180" t="n"/>
      <c r="H30" s="180" t="n"/>
      <c r="I30" s="180" t="n"/>
      <c r="J30" s="180" t="n"/>
      <c r="K30" s="180" t="n"/>
      <c r="L30" s="180" t="n"/>
      <c r="M30" s="180" t="n"/>
    </row>
    <row r="31" ht="15.65" customHeight="1" s="182">
      <c r="B31" s="253" t="inlineStr">
        <is>
          <t xml:space="preserve">(1)   Import of goods </t>
        </is>
      </c>
      <c r="C31" s="254" t="n">
        <v>0</v>
      </c>
      <c r="D31" s="255" t="n"/>
      <c r="E31" s="256" t="n"/>
      <c r="F31" s="254" t="n">
        <v>0</v>
      </c>
      <c r="G31" s="180" t="n"/>
      <c r="H31" s="180" t="n"/>
      <c r="I31" s="180" t="n"/>
      <c r="J31" s="180" t="n"/>
      <c r="K31" s="180" t="n"/>
      <c r="L31" s="180" t="n"/>
      <c r="M31" s="180" t="n"/>
    </row>
    <row r="32" ht="15.65" customHeight="1" s="182">
      <c r="B32" s="253" t="inlineStr">
        <is>
          <t>(2)   Import of services</t>
        </is>
      </c>
      <c r="C32" s="254" t="n">
        <v>0</v>
      </c>
      <c r="D32" s="257" t="n"/>
      <c r="E32" s="258" t="n"/>
      <c r="F32" s="254" t="n">
        <v>0</v>
      </c>
      <c r="G32" s="180" t="n"/>
      <c r="H32" s="180" t="n"/>
      <c r="I32" s="180" t="n"/>
      <c r="J32" s="180" t="n"/>
      <c r="K32" s="180" t="n"/>
      <c r="L32" s="180" t="n"/>
      <c r="M32" s="180" t="n"/>
    </row>
    <row r="33" ht="29.85" customHeight="1" s="182">
      <c r="B33" s="253" t="inlineStr">
        <is>
          <t>(3)   Inward supplies liable to reverse charge
        (other than 1 &amp;2 above)</t>
        </is>
      </c>
      <c r="C33" s="254" t="n">
        <v>0</v>
      </c>
      <c r="D33" s="254" t="n">
        <v>0</v>
      </c>
      <c r="E33" s="259">
        <f>D33</f>
        <v/>
      </c>
      <c r="F33" s="254" t="n">
        <v>0</v>
      </c>
      <c r="G33" s="180" t="n"/>
      <c r="H33" s="180" t="n"/>
      <c r="I33" s="180" t="n"/>
      <c r="J33" s="180" t="n"/>
      <c r="K33" s="180" t="n"/>
      <c r="L33" s="180" t="n"/>
      <c r="M33" s="180" t="n"/>
    </row>
    <row r="34" ht="15.65" customHeight="1" s="182">
      <c r="B34" s="253" t="inlineStr">
        <is>
          <t>(4)   Inward supplies from ISD</t>
        </is>
      </c>
      <c r="C34" s="254" t="n">
        <v>0</v>
      </c>
      <c r="D34" s="254" t="n">
        <v>0</v>
      </c>
      <c r="E34" s="259">
        <f>D34</f>
        <v/>
      </c>
      <c r="F34" s="254" t="n">
        <v>0</v>
      </c>
      <c r="G34" s="180" t="n"/>
      <c r="H34" s="180" t="n"/>
      <c r="I34" s="180" t="n"/>
      <c r="J34" s="180" t="n"/>
      <c r="K34" s="180" t="n"/>
      <c r="L34" s="180" t="n"/>
      <c r="M34" s="180" t="n"/>
    </row>
    <row r="35" ht="15.65" customHeight="1" s="182">
      <c r="B35" s="260" t="inlineStr">
        <is>
          <t>(5)   All other ITC</t>
        </is>
      </c>
      <c r="C35" s="254" t="n">
        <v>0</v>
      </c>
      <c r="D35" s="254" t="n">
        <v>0</v>
      </c>
      <c r="E35" s="259">
        <f>D35</f>
        <v/>
      </c>
      <c r="F35" s="254" t="n">
        <v>0</v>
      </c>
      <c r="G35" s="180" t="n"/>
      <c r="H35" s="180" t="n"/>
      <c r="I35" s="180" t="n"/>
      <c r="J35" s="180" t="n"/>
      <c r="K35" s="180" t="n"/>
      <c r="L35" s="180" t="n"/>
      <c r="M35" s="180" t="n"/>
    </row>
    <row r="36" ht="15.65" customHeight="1" s="182">
      <c r="B36" s="261" t="inlineStr">
        <is>
          <t xml:space="preserve"> (B) ITC Reversed</t>
        </is>
      </c>
      <c r="C36" s="262" t="n"/>
      <c r="D36" s="263" t="n"/>
      <c r="E36" s="263" t="n"/>
      <c r="F36" s="264" t="n"/>
      <c r="G36" s="180" t="n"/>
      <c r="H36" s="180" t="n"/>
      <c r="I36" s="180" t="n"/>
      <c r="J36" s="180" t="n"/>
      <c r="K36" s="180" t="n"/>
      <c r="L36" s="180" t="n"/>
      <c r="M36" s="180" t="n"/>
    </row>
    <row r="37" ht="36" customHeight="1" s="182">
      <c r="B37" s="265" t="inlineStr">
        <is>
          <t>(1) As per rules 38,42 &amp; 43 of CGST Rules and section 17(5)</t>
        </is>
      </c>
      <c r="C37" s="254" t="n">
        <v>0</v>
      </c>
      <c r="D37" s="254" t="n">
        <v>0</v>
      </c>
      <c r="E37" s="259">
        <f>D37</f>
        <v/>
      </c>
      <c r="F37" s="254" t="n">
        <v>0</v>
      </c>
      <c r="G37" s="180" t="n"/>
      <c r="H37" s="180" t="n"/>
      <c r="I37" s="180" t="n"/>
      <c r="J37" s="180" t="n"/>
      <c r="K37" s="180" t="n"/>
      <c r="L37" s="180" t="n"/>
      <c r="M37" s="180" t="n"/>
    </row>
    <row r="38" ht="15.65" customHeight="1" s="182">
      <c r="B38" s="266" t="inlineStr">
        <is>
          <t>(2)   Others</t>
        </is>
      </c>
      <c r="C38" s="254" t="n">
        <v>0</v>
      </c>
      <c r="D38" s="254" t="n">
        <v>0</v>
      </c>
      <c r="E38" s="254" t="n">
        <v>0</v>
      </c>
      <c r="F38" s="254" t="n">
        <v>0</v>
      </c>
      <c r="G38" s="180" t="n"/>
      <c r="H38" s="180" t="n"/>
      <c r="I38" s="180" t="n"/>
      <c r="J38" s="180" t="n"/>
      <c r="K38" s="180" t="n"/>
      <c r="L38" s="180" t="n"/>
      <c r="M38" s="180" t="n"/>
    </row>
    <row r="39" ht="15.65" customHeight="1" s="182">
      <c r="B39" s="267" t="inlineStr">
        <is>
          <t xml:space="preserve"> (C) Net ITC Available (A)-(B)</t>
        </is>
      </c>
      <c r="C39" s="268">
        <f>SUM(ROUND(C31,2),ROUND(C32,2),ROUND(C33,2),ROUND(C34,2),ROUND(C35,2))-SUM(ROUND(C37,2),ROUND(C38,2))</f>
        <v/>
      </c>
      <c r="D39" s="268">
        <f>SUM(ROUND(D31,2),ROUND(D32,2),ROUND(D33,2),ROUND(D34,2),ROUND(D35,2))-SUM(ROUND(D37,2),ROUND(D38,2))</f>
        <v/>
      </c>
      <c r="E39" s="268">
        <f>SUM(ROUND(E31,2),ROUND(E32,2),ROUND(E33,2),ROUND(E34,2),ROUND(E35,2))-SUM(ROUND(E37,2),ROUND(E38,2))</f>
        <v/>
      </c>
      <c r="F39" s="269">
        <f>SUM(ROUND(F31,2),ROUND(F32,2),ROUND(F33,2),ROUND(F34,2),ROUND(F35,2))-SUM(ROUND(F37,2),ROUND(F38,2))</f>
        <v/>
      </c>
      <c r="G39" s="180" t="n"/>
      <c r="H39" s="180" t="n"/>
      <c r="I39" s="180" t="n"/>
      <c r="J39" s="180" t="n"/>
      <c r="K39" s="180" t="n"/>
      <c r="L39" s="180" t="n"/>
      <c r="M39" s="180" t="n"/>
    </row>
    <row r="40" ht="15.65" customHeight="1" s="182">
      <c r="B40" s="270" t="inlineStr">
        <is>
          <t>(D) Other Details</t>
        </is>
      </c>
      <c r="C40" s="250" t="n"/>
      <c r="D40" s="251" t="n"/>
      <c r="E40" s="251" t="n"/>
      <c r="F40" s="252" t="n"/>
      <c r="G40" s="180" t="n"/>
      <c r="H40" s="180" t="n"/>
      <c r="I40" s="180" t="n"/>
      <c r="J40" s="180" t="n"/>
      <c r="K40" s="180" t="n"/>
      <c r="L40" s="180" t="n"/>
      <c r="M40" s="180" t="n"/>
    </row>
    <row r="41" ht="29.85" customHeight="1" s="182">
      <c r="B41" s="265" t="inlineStr">
        <is>
          <t>(1) ITC reclaimed which was reversed under Table 4(B)(2) in earlier tax period</t>
        </is>
      </c>
      <c r="C41" s="254" t="n">
        <v>0</v>
      </c>
      <c r="D41" s="254" t="n">
        <v>0</v>
      </c>
      <c r="E41" s="259">
        <f>D41</f>
        <v/>
      </c>
      <c r="F41" s="254" t="n">
        <v>0</v>
      </c>
      <c r="G41" s="180" t="n"/>
      <c r="H41" s="180" t="n"/>
      <c r="I41" s="180" t="n"/>
      <c r="J41" s="180" t="n"/>
      <c r="K41" s="180" t="n"/>
      <c r="L41" s="180" t="n"/>
      <c r="M41" s="180" t="n"/>
    </row>
    <row r="42" ht="45" customHeight="1" s="182">
      <c r="B42" s="271" t="inlineStr">
        <is>
          <t>(2) Ineligible ITC under section 16(4) &amp; ITC restricted due to PoS rules</t>
        </is>
      </c>
      <c r="C42" s="254" t="n">
        <v>0</v>
      </c>
      <c r="D42" s="254" t="n">
        <v>0</v>
      </c>
      <c r="E42" s="259">
        <f>D42</f>
        <v/>
      </c>
      <c r="F42" s="254" t="n">
        <v>0</v>
      </c>
      <c r="G42" s="180" t="n"/>
      <c r="H42" s="180" t="n"/>
      <c r="I42" s="180" t="n"/>
      <c r="J42" s="180" t="n"/>
      <c r="K42" s="180" t="n"/>
      <c r="L42" s="180" t="n"/>
      <c r="M42" s="180" t="n"/>
    </row>
    <row r="43" ht="15" customFormat="1" customHeight="1" s="272">
      <c r="C43" s="273" t="n"/>
      <c r="D43" s="273" t="n"/>
      <c r="E43" s="273" t="n"/>
      <c r="F43" s="273" t="n"/>
    </row>
    <row r="44" ht="15" customFormat="1" customHeight="1" s="180"/>
    <row r="45" ht="19.5" customHeight="1" s="182">
      <c r="B45" s="208" t="inlineStr">
        <is>
          <t>5. Values of exempt, Nil-rated and non-GST inward supplies</t>
        </is>
      </c>
      <c r="C45" s="209" t="n"/>
      <c r="D45" s="209" t="n"/>
      <c r="E45" s="210" t="n"/>
      <c r="F45" s="180" t="n"/>
      <c r="G45" s="180" t="n"/>
      <c r="H45" s="180" t="n"/>
      <c r="I45" s="180" t="n"/>
      <c r="J45" s="180" t="n"/>
      <c r="K45" s="180" t="n"/>
      <c r="L45" s="180" t="n"/>
      <c r="M45" s="180" t="n"/>
    </row>
    <row r="46" ht="29.85" customHeight="1" s="182">
      <c r="B46" s="274" t="inlineStr">
        <is>
          <t>Nature of supplies</t>
        </is>
      </c>
      <c r="C46" s="188" t="n"/>
      <c r="D46" s="275" t="inlineStr">
        <is>
          <t>Inter-State supplies</t>
        </is>
      </c>
      <c r="E46" s="275" t="inlineStr">
        <is>
          <t>Intra-state supplies</t>
        </is>
      </c>
      <c r="F46" s="180" t="n"/>
      <c r="G46" s="180" t="n"/>
      <c r="H46" s="180" t="n"/>
      <c r="I46" s="180" t="n"/>
      <c r="J46" s="180" t="n"/>
      <c r="K46" s="180" t="n"/>
      <c r="L46" s="180" t="n"/>
      <c r="M46" s="180" t="n"/>
    </row>
    <row r="47" ht="15.65" customHeight="1" s="182">
      <c r="B47" s="276" t="n">
        <v>1</v>
      </c>
      <c r="C47" s="185" t="n"/>
      <c r="D47" s="277" t="n">
        <v>2</v>
      </c>
      <c r="E47" s="277" t="n">
        <v>3</v>
      </c>
      <c r="F47" s="180" t="n"/>
      <c r="G47" s="180" t="n"/>
      <c r="H47" s="180" t="n"/>
      <c r="I47" s="180" t="n"/>
      <c r="J47" s="180" t="n"/>
      <c r="K47" s="180" t="n"/>
      <c r="L47" s="180" t="n"/>
      <c r="M47" s="180" t="n"/>
    </row>
    <row r="48" ht="15.75" customHeight="1" s="182">
      <c r="B48" s="278" t="inlineStr">
        <is>
          <t>From a supplier under composition scheme, Exempt  and Nil rated supply</t>
        </is>
      </c>
      <c r="C48" s="279" t="n"/>
      <c r="D48" s="280" t="n">
        <v>0</v>
      </c>
      <c r="E48" s="281" t="n">
        <v>0</v>
      </c>
      <c r="F48" s="180" t="n"/>
      <c r="G48" s="180" t="n"/>
      <c r="H48" s="180" t="n"/>
      <c r="I48" s="180" t="n"/>
      <c r="J48" s="180" t="n"/>
      <c r="K48" s="180" t="n"/>
      <c r="L48" s="180" t="n"/>
      <c r="M48" s="180" t="n"/>
    </row>
    <row r="49" ht="16.5" customHeight="1" s="182">
      <c r="B49" s="282" t="inlineStr">
        <is>
          <t>Non GST supply</t>
        </is>
      </c>
      <c r="C49" s="256" t="n"/>
      <c r="D49" s="280" t="n">
        <v>0</v>
      </c>
      <c r="E49" s="283" t="n">
        <v>0</v>
      </c>
      <c r="F49" s="180" t="n"/>
      <c r="G49" s="180" t="n"/>
      <c r="H49" s="180" t="n"/>
      <c r="I49" s="180" t="n"/>
      <c r="J49" s="180" t="n"/>
      <c r="K49" s="180" t="n"/>
      <c r="L49" s="180" t="n"/>
      <c r="M49" s="180" t="n"/>
    </row>
    <row r="50" ht="15.65" customHeight="1" s="182">
      <c r="B50" s="284" t="inlineStr">
        <is>
          <t>Total</t>
        </is>
      </c>
      <c r="C50" s="285" t="n"/>
      <c r="D50" s="286" t="n">
        <v>0</v>
      </c>
      <c r="E50" s="287">
        <f>SUM(E48:E49)</f>
        <v/>
      </c>
      <c r="F50" s="180" t="n"/>
      <c r="G50" s="180" t="n"/>
      <c r="H50" s="180" t="n"/>
      <c r="I50" s="180" t="n"/>
      <c r="J50" s="180" t="n"/>
      <c r="K50" s="180" t="n"/>
      <c r="L50" s="180" t="n"/>
      <c r="M50" s="180" t="n"/>
    </row>
    <row r="51" ht="15" customHeight="1" s="182">
      <c r="M51" s="180" t="n"/>
    </row>
    <row r="52" hidden="1" ht="17.35" customHeight="1" s="182">
      <c r="B52" s="288" t="inlineStr">
        <is>
          <t>Payment of tax</t>
        </is>
      </c>
      <c r="C52" s="289" t="n"/>
      <c r="D52" s="289" t="n"/>
      <c r="E52" s="289" t="n"/>
      <c r="F52" s="289" t="n"/>
      <c r="G52" s="289" t="n"/>
      <c r="H52" s="289" t="n"/>
      <c r="I52" s="289" t="n"/>
      <c r="J52" s="289" t="n"/>
      <c r="K52" s="290" t="n"/>
      <c r="M52" s="180" t="n"/>
    </row>
    <row r="53" hidden="1" ht="16.4" customHeight="1" s="182">
      <c r="B53" s="291" t="inlineStr">
        <is>
          <t>Description</t>
        </is>
      </c>
      <c r="C53" s="291" t="inlineStr">
        <is>
          <t xml:space="preserve">Tax payable </t>
        </is>
      </c>
      <c r="D53" s="291" t="inlineStr">
        <is>
          <t>Paid through ITC</t>
        </is>
      </c>
      <c r="E53" s="292" t="n"/>
      <c r="F53" s="292" t="n"/>
      <c r="G53" s="293" t="n"/>
      <c r="H53" s="291" t="inlineStr">
        <is>
          <t>Tax paid  TDS./TCS</t>
        </is>
      </c>
      <c r="I53" s="291" t="inlineStr">
        <is>
          <t>Tax/Cess paid in cash</t>
        </is>
      </c>
      <c r="J53" s="291" t="inlineStr">
        <is>
          <t>Interest</t>
        </is>
      </c>
      <c r="K53" s="291" t="inlineStr">
        <is>
          <t>Late Fee</t>
        </is>
      </c>
      <c r="M53" s="180" t="n"/>
    </row>
    <row r="54" hidden="1" ht="16.4" customHeight="1" s="182">
      <c r="B54" s="294" t="n"/>
      <c r="C54" s="294" t="n"/>
      <c r="D54" s="291" t="inlineStr">
        <is>
          <t>Integrated Tax</t>
        </is>
      </c>
      <c r="E54" s="295" t="inlineStr">
        <is>
          <t>Central Tax</t>
        </is>
      </c>
      <c r="F54" s="291" t="inlineStr">
        <is>
          <t>State/UT Tax</t>
        </is>
      </c>
      <c r="G54" s="291" t="inlineStr">
        <is>
          <t>Cess</t>
        </is>
      </c>
      <c r="H54" s="294" t="n"/>
      <c r="I54" s="294" t="n"/>
      <c r="J54" s="294" t="n"/>
      <c r="K54" s="294" t="n"/>
      <c r="M54" s="180" t="n"/>
    </row>
    <row r="55" hidden="1" ht="15.65" customHeight="1" s="182">
      <c r="B55" s="296" t="n">
        <v>1</v>
      </c>
      <c r="C55" s="296" t="n">
        <v>2</v>
      </c>
      <c r="D55" s="296" t="n">
        <v>4</v>
      </c>
      <c r="E55" s="296" t="n">
        <v>5</v>
      </c>
      <c r="F55" s="296" t="n">
        <v>6</v>
      </c>
      <c r="G55" s="296" t="n">
        <v>7</v>
      </c>
      <c r="H55" s="296" t="n"/>
      <c r="I55" s="296" t="n">
        <v>8</v>
      </c>
      <c r="J55" s="296" t="n">
        <v>9</v>
      </c>
      <c r="K55" s="296" t="n">
        <v>10</v>
      </c>
      <c r="M55" s="180" t="n"/>
    </row>
    <row r="56" hidden="1" ht="15.65" customHeight="1" s="182">
      <c r="B56" s="297" t="inlineStr">
        <is>
          <t>Integrated Tax</t>
        </is>
      </c>
      <c r="C56" s="298" t="n"/>
      <c r="D56" s="298" t="n"/>
      <c r="E56" s="298" t="n"/>
      <c r="F56" s="298" t="n"/>
      <c r="G56" s="299" t="n"/>
      <c r="H56" s="300" t="n"/>
      <c r="I56" s="298" t="n"/>
      <c r="J56" s="301" t="n"/>
      <c r="K56" s="302" t="n"/>
      <c r="M56" s="180" t="n"/>
    </row>
    <row r="57" hidden="1" ht="15.65" customHeight="1" s="182">
      <c r="B57" s="303" t="inlineStr">
        <is>
          <t>Central Tax</t>
        </is>
      </c>
      <c r="C57" s="304" t="n"/>
      <c r="D57" s="304" t="n"/>
      <c r="E57" s="305" t="n"/>
      <c r="F57" s="306" t="n"/>
      <c r="G57" s="307" t="n"/>
      <c r="H57" s="308" t="n"/>
      <c r="I57" s="304" t="n"/>
      <c r="J57" s="307" t="n"/>
      <c r="K57" s="309" t="n"/>
      <c r="M57" s="180" t="n"/>
    </row>
    <row r="58" hidden="1" ht="15.65" customHeight="1" s="182">
      <c r="B58" s="303" t="inlineStr">
        <is>
          <t>State/UT Tax</t>
        </is>
      </c>
      <c r="C58" s="304" t="n"/>
      <c r="D58" s="310" t="n"/>
      <c r="E58" s="306" t="n"/>
      <c r="F58" s="311" t="n"/>
      <c r="G58" s="307" t="n"/>
      <c r="H58" s="308" t="n"/>
      <c r="I58" s="304" t="n"/>
      <c r="J58" s="307" t="n"/>
      <c r="K58" s="309" t="n"/>
      <c r="M58" s="180" t="n"/>
    </row>
    <row r="59" hidden="1" ht="15.65" customHeight="1" s="182">
      <c r="B59" s="312" t="inlineStr">
        <is>
          <t>Cess</t>
        </is>
      </c>
      <c r="C59" s="313" t="n"/>
      <c r="D59" s="314" t="n"/>
      <c r="E59" s="315" t="n"/>
      <c r="F59" s="316" t="n"/>
      <c r="G59" s="317" t="n"/>
      <c r="H59" s="318" t="n"/>
      <c r="I59" s="313" t="n"/>
      <c r="J59" s="317" t="n"/>
      <c r="K59" s="319" t="n"/>
      <c r="M59" s="180" t="n"/>
    </row>
    <row r="60" hidden="1" ht="15" customHeight="1" s="182">
      <c r="M60" s="180" t="n"/>
    </row>
    <row r="61" ht="15" customFormat="1" customHeight="1" s="180"/>
    <row r="62" ht="28.5" customHeight="1" s="182">
      <c r="A62" s="320" t="n"/>
      <c r="B62" s="242" t="inlineStr">
        <is>
          <t>5.1 Interest &amp; late fee payable</t>
        </is>
      </c>
      <c r="C62" s="243" t="n"/>
      <c r="D62" s="243" t="n"/>
      <c r="E62" s="243" t="n"/>
      <c r="F62" s="244" t="n"/>
      <c r="G62" s="180" t="n"/>
      <c r="H62" s="180" t="n"/>
      <c r="I62" s="180" t="n"/>
      <c r="J62" s="180" t="n"/>
      <c r="K62" s="180" t="n"/>
      <c r="L62" s="180" t="n"/>
      <c r="M62" s="180" t="n"/>
    </row>
    <row r="63" ht="15" customHeight="1" s="182">
      <c r="B63" s="321" t="inlineStr">
        <is>
          <t>Description</t>
        </is>
      </c>
      <c r="C63" s="322" t="inlineStr">
        <is>
          <t>Integrated Tax</t>
        </is>
      </c>
      <c r="D63" s="321" t="inlineStr">
        <is>
          <t>Central Tax</t>
        </is>
      </c>
      <c r="E63" s="323" t="inlineStr">
        <is>
          <t>State/UT Tax</t>
        </is>
      </c>
      <c r="F63" s="324" t="inlineStr">
        <is>
          <t>Cess</t>
        </is>
      </c>
      <c r="G63" s="180" t="n"/>
      <c r="H63" s="180" t="n"/>
      <c r="I63" s="180" t="n"/>
      <c r="J63" s="180" t="n"/>
      <c r="K63" s="180" t="n"/>
      <c r="L63" s="180" t="n"/>
      <c r="M63" s="180" t="n"/>
    </row>
    <row r="64" ht="15" customHeight="1" s="182">
      <c r="B64" s="325" t="n">
        <v>1</v>
      </c>
      <c r="C64" s="326" t="n">
        <v>2</v>
      </c>
      <c r="D64" s="327" t="n">
        <v>3</v>
      </c>
      <c r="E64" s="327" t="n">
        <v>4</v>
      </c>
      <c r="F64" s="328" t="n">
        <v>5</v>
      </c>
      <c r="G64" s="180" t="n"/>
      <c r="H64" s="180" t="n"/>
      <c r="I64" s="180" t="n"/>
      <c r="J64" s="180" t="n"/>
      <c r="K64" s="180" t="n"/>
      <c r="L64" s="180" t="n"/>
      <c r="M64" s="180" t="n"/>
    </row>
    <row r="65" ht="15" customHeight="1" s="182">
      <c r="B65" s="329" t="inlineStr">
        <is>
          <t>Interest</t>
        </is>
      </c>
      <c r="C65" s="330" t="n">
        <v>0</v>
      </c>
      <c r="D65" s="330" t="n">
        <v>0</v>
      </c>
      <c r="E65" s="330" t="n">
        <v>0</v>
      </c>
      <c r="F65" s="330" t="n">
        <v>0</v>
      </c>
      <c r="G65" s="180" t="n"/>
      <c r="H65" s="180" t="n"/>
      <c r="I65" s="180" t="n"/>
      <c r="J65" s="180" t="n"/>
      <c r="K65" s="180" t="n"/>
      <c r="L65" s="180" t="n"/>
      <c r="M65" s="180" t="n"/>
    </row>
    <row r="66" hidden="1" ht="21" customHeight="1" s="182">
      <c r="B66" s="331" t="inlineStr">
        <is>
          <t>Late fee</t>
        </is>
      </c>
      <c r="C66" s="332" t="n"/>
      <c r="D66" s="333" t="n"/>
      <c r="E66" s="333" t="n"/>
      <c r="F66" s="334" t="n"/>
      <c r="G66" s="180" t="n"/>
      <c r="H66" s="180" t="n"/>
      <c r="I66" s="180" t="n"/>
      <c r="J66" s="180" t="n"/>
      <c r="K66" s="180" t="n"/>
      <c r="L66" s="180" t="n"/>
      <c r="M66" s="180" t="n"/>
    </row>
    <row r="67" ht="15" customHeight="1" s="182">
      <c r="A67" s="272" t="n"/>
      <c r="B67" s="335" t="n"/>
      <c r="C67" s="336" t="n"/>
      <c r="D67" s="336" t="n"/>
      <c r="E67" s="336" t="n"/>
      <c r="F67" s="336" t="n"/>
      <c r="M67" s="180" t="n"/>
    </row>
    <row r="68" hidden="1" ht="15" customHeight="1" s="182">
      <c r="A68" s="272" t="n"/>
      <c r="B68" s="335" t="n"/>
      <c r="C68" s="336" t="n"/>
      <c r="D68" s="336" t="n"/>
      <c r="E68" s="336" t="n"/>
      <c r="F68" s="336" t="n"/>
      <c r="M68" s="180" t="n"/>
    </row>
    <row r="69" hidden="1" ht="23.25" customHeight="1" s="182">
      <c r="A69" s="272" t="n"/>
      <c r="B69" s="337" t="inlineStr">
        <is>
          <t>6. Payment of Tax</t>
        </is>
      </c>
      <c r="C69" s="292" t="n"/>
      <c r="D69" s="292" t="n"/>
      <c r="E69" s="292" t="n"/>
      <c r="F69" s="292" t="n"/>
      <c r="G69" s="292" t="n"/>
      <c r="H69" s="292" t="n"/>
      <c r="I69" s="292" t="n"/>
      <c r="J69" s="292" t="n"/>
      <c r="K69" s="293" t="n"/>
      <c r="M69" s="180" t="n"/>
    </row>
    <row r="70" hidden="1" ht="19.5" customHeight="1" s="182">
      <c r="A70" s="272" t="n"/>
      <c r="B70" s="338" t="inlineStr">
        <is>
          <t>Description</t>
        </is>
      </c>
      <c r="C70" s="338" t="inlineStr">
        <is>
          <t xml:space="preserve">Tax payable </t>
        </is>
      </c>
      <c r="D70" s="338" t="inlineStr">
        <is>
          <t>Paid through ITC</t>
        </is>
      </c>
      <c r="E70" s="292" t="n"/>
      <c r="F70" s="292" t="n"/>
      <c r="G70" s="293" t="n"/>
      <c r="H70" s="338" t="inlineStr">
        <is>
          <t>Tax paid  TDS/TCS</t>
        </is>
      </c>
      <c r="I70" s="338" t="inlineStr">
        <is>
          <t>Tax/Cess paid in cash</t>
        </is>
      </c>
      <c r="J70" s="338" t="inlineStr">
        <is>
          <t>Interest*</t>
        </is>
      </c>
      <c r="K70" s="338" t="inlineStr">
        <is>
          <t>Late Fee</t>
        </is>
      </c>
      <c r="M70" s="180" t="n"/>
    </row>
    <row r="71" hidden="1" ht="34.5" customHeight="1" s="182">
      <c r="A71" s="272" t="n"/>
      <c r="B71" s="294" t="n"/>
      <c r="C71" s="294" t="n"/>
      <c r="D71" s="339" t="inlineStr">
        <is>
          <t>Integrated Tax</t>
        </is>
      </c>
      <c r="E71" s="339" t="inlineStr">
        <is>
          <t>Central Tax</t>
        </is>
      </c>
      <c r="F71" s="339" t="inlineStr">
        <is>
          <t>State/UT Tax</t>
        </is>
      </c>
      <c r="G71" s="339" t="inlineStr">
        <is>
          <t>Cess</t>
        </is>
      </c>
      <c r="H71" s="294" t="n"/>
      <c r="I71" s="294" t="n"/>
      <c r="J71" s="294" t="n"/>
      <c r="K71" s="294" t="n"/>
      <c r="M71" s="180" t="n"/>
    </row>
    <row r="72" hidden="1" ht="15.65" customHeight="1" s="182">
      <c r="A72" s="272" t="n"/>
      <c r="B72" s="340" t="n">
        <v>1</v>
      </c>
      <c r="C72" s="341" t="n">
        <v>2</v>
      </c>
      <c r="D72" s="341" t="n">
        <v>3</v>
      </c>
      <c r="E72" s="341" t="n">
        <v>4</v>
      </c>
      <c r="F72" s="341" t="n">
        <v>5</v>
      </c>
      <c r="G72" s="341" t="n">
        <v>6</v>
      </c>
      <c r="H72" s="341" t="n">
        <v>7</v>
      </c>
      <c r="I72" s="341" t="n">
        <v>8</v>
      </c>
      <c r="J72" s="341" t="n">
        <v>9</v>
      </c>
      <c r="K72" s="341" t="n">
        <v>10</v>
      </c>
      <c r="M72" s="180" t="n"/>
    </row>
    <row r="73" hidden="1" ht="17.9" customHeight="1" s="182">
      <c r="A73" s="272" t="n"/>
      <c r="B73" s="342" t="inlineStr">
        <is>
          <t>Non reverse charge</t>
        </is>
      </c>
      <c r="C73" s="292" t="n"/>
      <c r="D73" s="292" t="n"/>
      <c r="E73" s="292" t="n"/>
      <c r="F73" s="292" t="n"/>
      <c r="G73" s="292" t="n"/>
      <c r="H73" s="292" t="n"/>
      <c r="I73" s="292" t="n"/>
      <c r="J73" s="292" t="n"/>
      <c r="K73" s="293" t="n"/>
      <c r="M73" s="180" t="n"/>
    </row>
    <row r="74" hidden="1" ht="15.65" customHeight="1" s="182">
      <c r="A74" s="272" t="n"/>
      <c r="B74" s="343" t="inlineStr">
        <is>
          <t>Integrated Tax</t>
        </is>
      </c>
      <c r="C74" s="344">
        <f>D11+D12</f>
        <v/>
      </c>
      <c r="D74" s="345" t="n">
        <v>20</v>
      </c>
      <c r="E74" s="345" t="n">
        <v>0</v>
      </c>
      <c r="F74" s="346" t="n">
        <v>0</v>
      </c>
      <c r="G74" s="347" t="n"/>
      <c r="H74" s="348" t="n"/>
      <c r="I74" s="349" t="n">
        <v>0</v>
      </c>
      <c r="J74" s="350" t="n">
        <v>1</v>
      </c>
      <c r="K74" s="351" t="n"/>
      <c r="M74" s="180" t="n"/>
    </row>
    <row r="75" hidden="1" ht="15.65" customHeight="1" s="182">
      <c r="A75" s="272" t="n"/>
      <c r="B75" s="352" t="inlineStr">
        <is>
          <t>Central Tax</t>
        </is>
      </c>
      <c r="C75" s="353">
        <f>E11</f>
        <v/>
      </c>
      <c r="D75" s="354" t="n"/>
      <c r="E75" s="355" t="n">
        <v>10</v>
      </c>
      <c r="F75" s="356" t="n"/>
      <c r="G75" s="357" t="n"/>
      <c r="H75" s="358" t="n"/>
      <c r="I75" s="359" t="n"/>
      <c r="J75" s="360" t="n">
        <v>1</v>
      </c>
      <c r="K75" s="361" t="n">
        <v>1900</v>
      </c>
      <c r="M75" s="180" t="n"/>
    </row>
    <row r="76" hidden="1" ht="15.65" customHeight="1" s="182">
      <c r="A76" s="272" t="n"/>
      <c r="B76" s="352" t="inlineStr">
        <is>
          <t>State/UT Tax</t>
        </is>
      </c>
      <c r="C76" s="353">
        <f>F11</f>
        <v/>
      </c>
      <c r="D76" s="354" t="n"/>
      <c r="E76" s="356" t="n"/>
      <c r="F76" s="362" t="n">
        <v>10</v>
      </c>
      <c r="G76" s="363" t="n"/>
      <c r="H76" s="358" t="n"/>
      <c r="I76" s="359" t="n"/>
      <c r="J76" s="360" t="n">
        <v>1</v>
      </c>
      <c r="K76" s="361" t="n">
        <v>1900</v>
      </c>
      <c r="M76" s="180" t="n"/>
    </row>
    <row r="77" hidden="1" ht="15.65" customHeight="1" s="182">
      <c r="A77" s="272" t="n"/>
      <c r="B77" s="364" t="inlineStr">
        <is>
          <t>Cess</t>
        </is>
      </c>
      <c r="C77" s="365">
        <f>G11+G12</f>
        <v/>
      </c>
      <c r="D77" s="366" t="n"/>
      <c r="E77" s="201" t="n"/>
      <c r="F77" s="367" t="n"/>
      <c r="G77" s="368" t="n">
        <v>10</v>
      </c>
      <c r="H77" s="367" t="n"/>
      <c r="I77" s="369" t="n">
        <v>10</v>
      </c>
      <c r="J77" s="370" t="n">
        <v>1</v>
      </c>
      <c r="K77" s="371" t="n"/>
      <c r="M77" s="180" t="n"/>
    </row>
    <row r="78" hidden="1" ht="17.9" customHeight="1" s="182">
      <c r="A78" s="272" t="n"/>
      <c r="B78" s="372" t="inlineStr">
        <is>
          <t>Reverse charge</t>
        </is>
      </c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373" t="n"/>
      <c r="M78" s="180" t="n"/>
    </row>
    <row r="79" hidden="1" ht="15.65" customHeight="1" s="182">
      <c r="A79" s="272" t="n"/>
      <c r="B79" s="343" t="inlineStr">
        <is>
          <t>Integrated Tax</t>
        </is>
      </c>
      <c r="C79" s="344">
        <f>D14</f>
        <v/>
      </c>
      <c r="D79" s="374" t="n"/>
      <c r="E79" s="289" t="n"/>
      <c r="F79" s="289" t="n"/>
      <c r="G79" s="289" t="n"/>
      <c r="H79" s="375" t="n"/>
      <c r="I79" s="376" t="n">
        <v>10</v>
      </c>
      <c r="J79" s="377" t="n"/>
      <c r="K79" s="290" t="n"/>
      <c r="M79" s="180" t="n"/>
    </row>
    <row r="80" hidden="1" ht="15.65" customHeight="1" s="182">
      <c r="A80" s="272" t="n"/>
      <c r="B80" s="352" t="inlineStr">
        <is>
          <t>Central Tax</t>
        </is>
      </c>
      <c r="C80" s="378">
        <f>E14</f>
        <v/>
      </c>
      <c r="D80" s="379" t="n"/>
      <c r="E80" s="357" t="n"/>
      <c r="F80" s="357" t="n"/>
      <c r="G80" s="357" t="n"/>
      <c r="H80" s="358" t="n"/>
      <c r="I80" s="359" t="n">
        <v>10</v>
      </c>
      <c r="J80" s="357" t="n"/>
      <c r="K80" s="380" t="n"/>
      <c r="M80" s="180" t="n"/>
    </row>
    <row r="81" hidden="1" ht="15.65" customHeight="1" s="182">
      <c r="A81" s="272" t="n"/>
      <c r="B81" s="352" t="inlineStr">
        <is>
          <t>State/UT Tax</t>
        </is>
      </c>
      <c r="C81" s="378">
        <f>F14</f>
        <v/>
      </c>
      <c r="D81" s="379" t="n"/>
      <c r="E81" s="357" t="n"/>
      <c r="F81" s="357" t="n"/>
      <c r="G81" s="357" t="n"/>
      <c r="H81" s="358" t="n"/>
      <c r="I81" s="359" t="n">
        <v>10</v>
      </c>
      <c r="J81" s="357" t="n"/>
      <c r="K81" s="380" t="n"/>
      <c r="M81" s="180" t="n"/>
    </row>
    <row r="82" hidden="1" ht="15.65" customHeight="1" s="182">
      <c r="A82" s="272" t="n"/>
      <c r="B82" s="364" t="inlineStr">
        <is>
          <t>Cess</t>
        </is>
      </c>
      <c r="C82" s="381">
        <f>G14</f>
        <v/>
      </c>
      <c r="D82" s="382" t="n"/>
      <c r="E82" s="201" t="n"/>
      <c r="F82" s="201" t="n"/>
      <c r="G82" s="201" t="n"/>
      <c r="H82" s="367" t="n"/>
      <c r="I82" s="369" t="n">
        <v>10</v>
      </c>
      <c r="J82" s="201" t="n"/>
      <c r="K82" s="373" t="n"/>
      <c r="M82" s="180" t="n"/>
    </row>
    <row r="83" ht="15" customFormat="1" customHeight="1" s="180">
      <c r="A83" s="272" t="n"/>
      <c r="B83" s="383" t="n"/>
      <c r="C83" s="272" t="n"/>
      <c r="D83" s="272" t="n"/>
      <c r="E83" s="272" t="n"/>
      <c r="F83" s="272" t="n"/>
    </row>
    <row r="84" ht="17.9" customFormat="1" customHeight="1" s="180">
      <c r="A84" s="272" t="n"/>
      <c r="B84" s="384" t="inlineStr">
        <is>
          <t>3.2  Of the supplies shown in 3.1 (a), details of inter-state supplies made to unregistered persons, composition taxable person and UIN holders</t>
        </is>
      </c>
      <c r="C84" s="184" t="n"/>
      <c r="D84" s="184" t="n"/>
      <c r="E84" s="184" t="n"/>
      <c r="F84" s="184" t="n"/>
      <c r="G84" s="184" t="n"/>
      <c r="H84" s="185" t="n"/>
    </row>
    <row r="85" ht="48.75" customHeight="1" s="182">
      <c r="B85" s="385" t="inlineStr">
        <is>
          <t>Place of Supply(State/UT)</t>
        </is>
      </c>
      <c r="C85" s="386" t="inlineStr">
        <is>
          <t>Supplies made to Unregistered Persons</t>
        </is>
      </c>
      <c r="D85" s="244" t="n"/>
      <c r="E85" s="386" t="inlineStr">
        <is>
          <t>Supplies made to Composition Taxable Persons</t>
        </is>
      </c>
      <c r="F85" s="244" t="n"/>
      <c r="G85" s="386" t="inlineStr">
        <is>
          <t>Supplies made to UIN holders</t>
        </is>
      </c>
      <c r="H85" s="244" t="n"/>
      <c r="I85" s="180" t="n"/>
      <c r="J85" s="180" t="n"/>
      <c r="K85" s="180" t="n"/>
      <c r="L85" s="180" t="n"/>
      <c r="M85" s="180" t="n"/>
    </row>
    <row r="86" ht="53.25" customHeight="1" s="182">
      <c r="B86" s="387" t="n"/>
      <c r="C86" s="388" t="inlineStr">
        <is>
          <t>Total Taxable value</t>
        </is>
      </c>
      <c r="D86" s="388" t="inlineStr">
        <is>
          <t>Amount of Integrated Tax</t>
        </is>
      </c>
      <c r="E86" s="388" t="inlineStr">
        <is>
          <t>Total Taxable value</t>
        </is>
      </c>
      <c r="F86" s="388" t="inlineStr">
        <is>
          <t>Amount of Integrated Tax</t>
        </is>
      </c>
      <c r="G86" s="388" t="inlineStr">
        <is>
          <t>Total Taxable value</t>
        </is>
      </c>
      <c r="H86" s="388" t="inlineStr">
        <is>
          <t>Amount of Integrated Tax</t>
        </is>
      </c>
      <c r="I86" s="180" t="n"/>
      <c r="J86" s="180" t="n"/>
      <c r="K86" s="180" t="n"/>
      <c r="L86" s="180" t="n"/>
      <c r="M86" s="180" t="n"/>
    </row>
    <row r="87" ht="15" customFormat="1" customHeight="1" s="180">
      <c r="B87" s="389" t="n">
        <v>1</v>
      </c>
      <c r="C87" s="389" t="n">
        <v>2</v>
      </c>
      <c r="D87" s="389" t="n">
        <v>3</v>
      </c>
      <c r="E87" s="389" t="n">
        <v>4</v>
      </c>
      <c r="F87" s="389" t="n">
        <v>5</v>
      </c>
      <c r="G87" s="389" t="n">
        <v>6</v>
      </c>
      <c r="H87" s="389" t="n">
        <v>7</v>
      </c>
    </row>
    <row r="88" ht="15" customHeight="1" s="182">
      <c r="B88" s="390" t="n"/>
      <c r="C88" s="391" t="n"/>
      <c r="D88" s="391" t="n"/>
      <c r="E88" s="391" t="n"/>
      <c r="F88" s="391" t="n"/>
      <c r="G88" s="391" t="n"/>
      <c r="H88" s="391" t="n"/>
      <c r="I88" s="180" t="n"/>
      <c r="J88" s="180" t="n"/>
      <c r="K88" s="180" t="n"/>
      <c r="L88" s="180" t="n"/>
      <c r="M88" s="180" t="n"/>
    </row>
    <row r="89" ht="15" customHeight="1" s="182">
      <c r="B89" s="390" t="n"/>
      <c r="C89" s="391" t="n"/>
      <c r="D89" s="391" t="n"/>
      <c r="E89" s="391" t="n"/>
      <c r="F89" s="391" t="n"/>
      <c r="G89" s="391" t="n"/>
      <c r="H89" s="391" t="n"/>
      <c r="I89" s="180" t="n"/>
      <c r="J89" s="180" t="n"/>
      <c r="K89" s="180" t="n"/>
      <c r="L89" s="180" t="n"/>
      <c r="M89" s="180" t="n"/>
    </row>
    <row r="90" ht="15" customHeight="1" s="182">
      <c r="B90" s="390" t="n"/>
      <c r="C90" s="391" t="n"/>
      <c r="D90" s="391" t="n"/>
      <c r="E90" s="391" t="n"/>
      <c r="F90" s="391" t="n"/>
      <c r="G90" s="391" t="n"/>
      <c r="H90" s="391" t="n"/>
      <c r="I90" s="180" t="n"/>
      <c r="J90" s="180" t="n"/>
      <c r="K90" s="180" t="n"/>
      <c r="L90" s="180" t="n"/>
      <c r="M90" s="180" t="n"/>
    </row>
    <row r="91" ht="15" customHeight="1" s="182">
      <c r="B91" s="390" t="n"/>
      <c r="C91" s="391" t="n"/>
      <c r="D91" s="391" t="n"/>
      <c r="E91" s="391" t="n"/>
      <c r="F91" s="391" t="n"/>
      <c r="G91" s="391" t="n"/>
      <c r="H91" s="391" t="n"/>
      <c r="I91" s="180" t="n"/>
      <c r="J91" s="180" t="n"/>
      <c r="K91" s="180" t="n"/>
      <c r="L91" s="180" t="n"/>
      <c r="M91" s="180" t="n"/>
    </row>
    <row r="92" ht="15" customHeight="1" s="182">
      <c r="B92" s="390" t="n"/>
      <c r="C92" s="391" t="n"/>
      <c r="D92" s="391" t="n"/>
      <c r="E92" s="391" t="n"/>
      <c r="F92" s="391" t="n"/>
      <c r="G92" s="391" t="n"/>
      <c r="H92" s="391" t="n"/>
      <c r="I92" s="180" t="n"/>
      <c r="J92" s="180" t="n"/>
      <c r="K92" s="180" t="n"/>
      <c r="L92" s="180" t="n"/>
      <c r="M92" s="180" t="n"/>
    </row>
    <row r="93" ht="15" customHeight="1" s="182">
      <c r="B93" s="390" t="n"/>
      <c r="C93" s="391" t="n"/>
      <c r="D93" s="391" t="n"/>
      <c r="E93" s="391" t="n"/>
      <c r="F93" s="391" t="n"/>
      <c r="G93" s="391" t="n"/>
      <c r="H93" s="391" t="n"/>
      <c r="I93" s="180" t="n"/>
      <c r="J93" s="180" t="n"/>
      <c r="K93" s="180" t="n"/>
      <c r="L93" s="180" t="n"/>
      <c r="M93" s="180" t="n"/>
    </row>
    <row r="94" ht="15" customHeight="1" s="182">
      <c r="B94" s="390" t="n"/>
      <c r="C94" s="391" t="n"/>
      <c r="D94" s="391" t="n"/>
      <c r="E94" s="391" t="n"/>
      <c r="F94" s="391" t="n"/>
      <c r="G94" s="391" t="n"/>
      <c r="H94" s="391" t="n"/>
      <c r="I94" s="180" t="n"/>
      <c r="J94" s="180" t="n"/>
      <c r="K94" s="180" t="n"/>
      <c r="L94" s="180" t="n"/>
      <c r="M94" s="180" t="n"/>
    </row>
    <row r="95" ht="15" customHeight="1" s="182">
      <c r="B95" s="390" t="n"/>
      <c r="C95" s="391" t="n"/>
      <c r="D95" s="391" t="n"/>
      <c r="E95" s="391" t="n"/>
      <c r="F95" s="391" t="n"/>
      <c r="G95" s="391" t="n"/>
      <c r="H95" s="391" t="n"/>
      <c r="I95" s="180" t="n"/>
      <c r="J95" s="180" t="n"/>
      <c r="K95" s="180" t="n"/>
      <c r="L95" s="180" t="n"/>
      <c r="M95" s="180" t="n"/>
    </row>
    <row r="96" ht="15" customHeight="1" s="182">
      <c r="B96" s="390" t="n"/>
      <c r="C96" s="391" t="n"/>
      <c r="D96" s="391" t="n"/>
      <c r="E96" s="391" t="n"/>
      <c r="F96" s="391" t="n"/>
      <c r="G96" s="391" t="n"/>
      <c r="H96" s="391" t="n"/>
      <c r="I96" s="180" t="n"/>
      <c r="J96" s="180" t="n"/>
      <c r="K96" s="180" t="n"/>
      <c r="L96" s="180" t="n"/>
      <c r="M96" s="180" t="n"/>
    </row>
    <row r="97" ht="15" customHeight="1" s="182">
      <c r="B97" s="390" t="n"/>
      <c r="C97" s="391" t="n"/>
      <c r="D97" s="391" t="n"/>
      <c r="E97" s="391" t="n"/>
      <c r="F97" s="391" t="n"/>
      <c r="G97" s="391" t="n"/>
      <c r="H97" s="391" t="n"/>
      <c r="I97" s="180" t="n"/>
      <c r="J97" s="180" t="n"/>
      <c r="K97" s="180" t="n"/>
      <c r="L97" s="180" t="n"/>
      <c r="M97" s="180" t="n"/>
    </row>
    <row r="98" ht="15" customHeight="1" s="182">
      <c r="B98" s="390" t="n"/>
      <c r="C98" s="391" t="n"/>
      <c r="D98" s="391" t="n"/>
      <c r="E98" s="391" t="n"/>
      <c r="F98" s="391" t="n"/>
      <c r="G98" s="391" t="n"/>
      <c r="H98" s="391" t="n"/>
      <c r="I98" s="180" t="n"/>
      <c r="J98" s="180" t="n"/>
      <c r="K98" s="180" t="n"/>
      <c r="L98" s="180" t="n"/>
      <c r="M98" s="180" t="n"/>
    </row>
    <row r="99" ht="15" customHeight="1" s="182">
      <c r="B99" s="390" t="n"/>
      <c r="C99" s="391" t="n"/>
      <c r="D99" s="391" t="n"/>
      <c r="E99" s="391" t="n"/>
      <c r="F99" s="391" t="n"/>
      <c r="G99" s="391" t="n"/>
      <c r="H99" s="391" t="n"/>
      <c r="I99" s="180" t="n"/>
      <c r="J99" s="180" t="n"/>
      <c r="K99" s="180" t="n"/>
      <c r="L99" s="180" t="n"/>
      <c r="M99" s="180" t="n"/>
    </row>
    <row r="100" ht="15" customHeight="1" s="182">
      <c r="B100" s="390" t="n"/>
      <c r="C100" s="391" t="n"/>
      <c r="D100" s="391" t="n"/>
      <c r="E100" s="391" t="n"/>
      <c r="F100" s="391" t="n"/>
      <c r="G100" s="391" t="n"/>
      <c r="H100" s="391" t="n"/>
      <c r="I100" s="180" t="n"/>
      <c r="J100" s="180" t="n"/>
      <c r="K100" s="180" t="n"/>
      <c r="L100" s="180" t="n"/>
      <c r="M100" s="180" t="n"/>
    </row>
    <row r="101" ht="15" customHeight="1" s="182">
      <c r="B101" s="390" t="n"/>
      <c r="C101" s="391" t="n"/>
      <c r="D101" s="391" t="n"/>
      <c r="E101" s="391" t="n"/>
      <c r="F101" s="391" t="n"/>
      <c r="G101" s="391" t="n"/>
      <c r="H101" s="391" t="n"/>
      <c r="I101" s="180" t="n"/>
      <c r="J101" s="180" t="n"/>
      <c r="K101" s="180" t="n"/>
      <c r="L101" s="180" t="n"/>
      <c r="M101" s="180" t="n"/>
    </row>
    <row r="102" ht="15" customHeight="1" s="182">
      <c r="B102" s="390" t="n"/>
      <c r="C102" s="391" t="n"/>
      <c r="D102" s="391" t="n"/>
      <c r="E102" s="391" t="n"/>
      <c r="F102" s="391" t="n"/>
      <c r="G102" s="391" t="n"/>
      <c r="H102" s="391" t="n"/>
      <c r="I102" s="180" t="n"/>
      <c r="J102" s="180" t="n"/>
      <c r="K102" s="180" t="n"/>
      <c r="L102" s="180" t="n"/>
      <c r="M102" s="180" t="n"/>
    </row>
    <row r="103" ht="15" customHeight="1" s="182">
      <c r="B103" s="390" t="n"/>
      <c r="C103" s="391" t="n"/>
      <c r="D103" s="391" t="n"/>
      <c r="E103" s="391" t="n"/>
      <c r="F103" s="391" t="n"/>
      <c r="G103" s="391" t="n"/>
      <c r="H103" s="391" t="n"/>
      <c r="I103" s="180" t="n"/>
      <c r="J103" s="180" t="n"/>
      <c r="K103" s="180" t="n"/>
      <c r="L103" s="180" t="n"/>
      <c r="M103" s="180" t="n"/>
    </row>
    <row r="104" ht="15" customHeight="1" s="182">
      <c r="B104" s="390" t="n"/>
      <c r="C104" s="391" t="n"/>
      <c r="D104" s="391" t="n"/>
      <c r="E104" s="391" t="n"/>
      <c r="F104" s="391" t="n"/>
      <c r="G104" s="391" t="n"/>
      <c r="H104" s="391" t="n"/>
      <c r="I104" s="180" t="n"/>
      <c r="J104" s="180" t="n"/>
      <c r="K104" s="180" t="n"/>
      <c r="L104" s="180" t="n"/>
      <c r="M104" s="180" t="n"/>
    </row>
    <row r="105" ht="15" customHeight="1" s="182">
      <c r="B105" s="390" t="n"/>
      <c r="C105" s="391" t="n"/>
      <c r="D105" s="391" t="n"/>
      <c r="E105" s="391" t="n"/>
      <c r="F105" s="391" t="n"/>
      <c r="G105" s="391" t="n"/>
      <c r="H105" s="391" t="n"/>
      <c r="I105" s="180" t="n"/>
      <c r="J105" s="180" t="n"/>
      <c r="K105" s="180" t="n"/>
      <c r="L105" s="180" t="n"/>
      <c r="M105" s="180" t="n"/>
    </row>
    <row r="106" ht="15" customHeight="1" s="182">
      <c r="B106" s="390" t="n"/>
      <c r="C106" s="391" t="n"/>
      <c r="D106" s="391" t="n"/>
      <c r="E106" s="391" t="n"/>
      <c r="F106" s="391" t="n"/>
      <c r="G106" s="391" t="n"/>
      <c r="H106" s="391" t="n"/>
      <c r="I106" s="180" t="n"/>
      <c r="J106" s="180" t="n"/>
      <c r="K106" s="180" t="n"/>
      <c r="L106" s="180" t="n"/>
      <c r="M106" s="180" t="n"/>
    </row>
    <row r="107" ht="15" customHeight="1" s="182">
      <c r="B107" s="390" t="n"/>
      <c r="C107" s="391" t="n"/>
      <c r="D107" s="391" t="n"/>
      <c r="E107" s="391" t="n"/>
      <c r="F107" s="391" t="n"/>
      <c r="G107" s="391" t="n"/>
      <c r="H107" s="391" t="n"/>
      <c r="I107" s="180" t="n"/>
      <c r="J107" s="180" t="n"/>
      <c r="K107" s="180" t="n"/>
      <c r="L107" s="180" t="n"/>
      <c r="M107" s="180" t="n"/>
    </row>
    <row r="108" ht="15" customHeight="1" s="182">
      <c r="B108" s="390" t="n"/>
      <c r="C108" s="391" t="n"/>
      <c r="D108" s="391" t="n"/>
      <c r="E108" s="391" t="n"/>
      <c r="F108" s="391" t="n"/>
      <c r="G108" s="391" t="n"/>
      <c r="H108" s="391" t="n"/>
      <c r="I108" s="180" t="n"/>
      <c r="J108" s="180" t="n"/>
      <c r="K108" s="180" t="n"/>
      <c r="L108" s="180" t="n"/>
      <c r="M108" s="180" t="n"/>
    </row>
    <row r="109" ht="15" customHeight="1" s="182">
      <c r="B109" s="390" t="n"/>
      <c r="C109" s="391" t="n"/>
      <c r="D109" s="391" t="n"/>
      <c r="E109" s="391" t="n"/>
      <c r="F109" s="391" t="n"/>
      <c r="G109" s="391" t="n"/>
      <c r="H109" s="391" t="n"/>
      <c r="I109" s="180" t="n"/>
      <c r="J109" s="180" t="n"/>
      <c r="K109" s="180" t="n"/>
      <c r="L109" s="180" t="n"/>
      <c r="M109" s="180" t="n"/>
    </row>
    <row r="110" ht="15" customHeight="1" s="182">
      <c r="B110" s="390" t="n"/>
      <c r="C110" s="391" t="n"/>
      <c r="D110" s="391" t="n"/>
      <c r="E110" s="391" t="n"/>
      <c r="F110" s="391" t="n"/>
      <c r="G110" s="391" t="n"/>
      <c r="H110" s="391" t="n"/>
      <c r="I110" s="180" t="n"/>
      <c r="J110" s="180" t="n"/>
      <c r="K110" s="180" t="n"/>
      <c r="L110" s="180" t="n"/>
      <c r="M110" s="180" t="n"/>
    </row>
    <row r="111" ht="15" customHeight="1" s="182">
      <c r="B111" s="390" t="n"/>
      <c r="C111" s="391" t="n"/>
      <c r="D111" s="391" t="n"/>
      <c r="E111" s="391" t="n"/>
      <c r="F111" s="391" t="n"/>
      <c r="G111" s="391" t="n"/>
      <c r="H111" s="391" t="n"/>
      <c r="I111" s="180" t="n"/>
      <c r="J111" s="180" t="n"/>
      <c r="K111" s="180" t="n"/>
      <c r="L111" s="180" t="n"/>
      <c r="M111" s="180" t="n"/>
    </row>
    <row r="112" ht="15" customHeight="1" s="182">
      <c r="B112" s="390" t="n"/>
      <c r="C112" s="391" t="n"/>
      <c r="D112" s="391" t="n"/>
      <c r="E112" s="391" t="n"/>
      <c r="F112" s="391" t="n"/>
      <c r="G112" s="391" t="n"/>
      <c r="H112" s="391" t="n"/>
      <c r="I112" s="180" t="n"/>
      <c r="J112" s="180" t="n"/>
      <c r="K112" s="180" t="n"/>
      <c r="L112" s="180" t="n"/>
      <c r="M112" s="180" t="n"/>
    </row>
    <row r="113" ht="15" customHeight="1" s="182">
      <c r="B113" s="390" t="n"/>
      <c r="C113" s="391" t="n"/>
      <c r="D113" s="391" t="n"/>
      <c r="E113" s="391" t="n"/>
      <c r="F113" s="391" t="n"/>
      <c r="G113" s="391" t="n"/>
      <c r="H113" s="391" t="n"/>
      <c r="I113" s="180" t="n"/>
      <c r="J113" s="180" t="n"/>
      <c r="K113" s="180" t="n"/>
      <c r="L113" s="180" t="n"/>
      <c r="M113" s="180" t="n"/>
    </row>
    <row r="114" ht="15" customHeight="1" s="182">
      <c r="B114" s="390" t="n"/>
      <c r="C114" s="391" t="n"/>
      <c r="D114" s="391" t="n"/>
      <c r="E114" s="391" t="n"/>
      <c r="F114" s="391" t="n"/>
      <c r="G114" s="391" t="n"/>
      <c r="H114" s="391" t="n"/>
      <c r="I114" s="180" t="n"/>
      <c r="J114" s="180" t="n"/>
      <c r="K114" s="180" t="n"/>
      <c r="L114" s="180" t="n"/>
      <c r="M114" s="180" t="n"/>
    </row>
    <row r="115" ht="15" customHeight="1" s="182">
      <c r="B115" s="390" t="n"/>
      <c r="C115" s="391" t="n"/>
      <c r="D115" s="391" t="n"/>
      <c r="E115" s="391" t="n"/>
      <c r="F115" s="391" t="n"/>
      <c r="G115" s="391" t="n"/>
      <c r="H115" s="391" t="n"/>
      <c r="I115" s="180" t="n"/>
      <c r="J115" s="180" t="n"/>
      <c r="K115" s="180" t="n"/>
      <c r="L115" s="180" t="n"/>
      <c r="M115" s="180" t="n"/>
    </row>
    <row r="116" ht="15" customHeight="1" s="182">
      <c r="B116" s="390" t="n"/>
      <c r="C116" s="391" t="n"/>
      <c r="D116" s="391" t="n"/>
      <c r="E116" s="391" t="n"/>
      <c r="F116" s="391" t="n"/>
      <c r="G116" s="391" t="n"/>
      <c r="H116" s="391" t="n"/>
      <c r="I116" s="180" t="n"/>
      <c r="J116" s="180" t="n"/>
      <c r="K116" s="180" t="n"/>
      <c r="L116" s="180" t="n"/>
      <c r="M116" s="180" t="n"/>
    </row>
    <row r="117" ht="15" customHeight="1" s="182">
      <c r="B117" s="390" t="n"/>
      <c r="C117" s="391" t="n"/>
      <c r="D117" s="391" t="n"/>
      <c r="E117" s="391" t="n"/>
      <c r="F117" s="391" t="n"/>
      <c r="G117" s="391" t="n"/>
      <c r="H117" s="391" t="n"/>
      <c r="I117" s="180" t="n"/>
      <c r="J117" s="180" t="n"/>
      <c r="K117" s="180" t="n"/>
      <c r="L117" s="180" t="n"/>
      <c r="M117" s="180" t="n"/>
    </row>
    <row r="118" ht="15" customHeight="1" s="182">
      <c r="B118" s="390" t="n"/>
      <c r="C118" s="391" t="n"/>
      <c r="D118" s="391" t="n"/>
      <c r="E118" s="391" t="n"/>
      <c r="F118" s="391" t="n"/>
      <c r="G118" s="391" t="n"/>
      <c r="H118" s="391" t="n"/>
      <c r="I118" s="180" t="n"/>
      <c r="J118" s="180" t="n"/>
      <c r="K118" s="180" t="n"/>
      <c r="L118" s="180" t="n"/>
      <c r="M118" s="180" t="n"/>
    </row>
    <row r="119" ht="15" customHeight="1" s="182">
      <c r="B119" s="390" t="n"/>
      <c r="C119" s="391" t="n"/>
      <c r="D119" s="391" t="n"/>
      <c r="E119" s="391" t="n"/>
      <c r="F119" s="391" t="n"/>
      <c r="G119" s="391" t="n"/>
      <c r="H119" s="391" t="n"/>
      <c r="I119" s="180" t="n"/>
      <c r="J119" s="180" t="n"/>
      <c r="K119" s="180" t="n"/>
      <c r="L119" s="180" t="n"/>
      <c r="M119" s="180" t="n"/>
    </row>
    <row r="120" ht="15" customHeight="1" s="182">
      <c r="B120" s="390" t="n"/>
      <c r="C120" s="391" t="n"/>
      <c r="D120" s="391" t="n"/>
      <c r="E120" s="391" t="n"/>
      <c r="F120" s="391" t="n"/>
      <c r="G120" s="391" t="n"/>
      <c r="H120" s="391" t="n"/>
      <c r="I120" s="180" t="n"/>
      <c r="J120" s="180" t="n"/>
      <c r="K120" s="180" t="n"/>
      <c r="L120" s="180" t="n"/>
      <c r="M120" s="180" t="n"/>
    </row>
    <row r="121" ht="15" customHeight="1" s="182">
      <c r="B121" s="390" t="n"/>
      <c r="C121" s="391" t="n"/>
      <c r="D121" s="391" t="n"/>
      <c r="E121" s="391" t="n"/>
      <c r="F121" s="391" t="n"/>
      <c r="G121" s="391" t="n"/>
      <c r="H121" s="391" t="n"/>
      <c r="I121" s="180" t="n"/>
      <c r="J121" s="180" t="n"/>
      <c r="K121" s="180" t="n"/>
      <c r="L121" s="180" t="n"/>
      <c r="M121" s="180" t="n"/>
    </row>
    <row r="122" ht="15" customHeight="1" s="182">
      <c r="B122" s="390" t="n"/>
      <c r="C122" s="391" t="n"/>
      <c r="D122" s="391" t="n"/>
      <c r="E122" s="391" t="n"/>
      <c r="F122" s="391" t="n"/>
      <c r="G122" s="391" t="n"/>
      <c r="H122" s="391" t="n"/>
      <c r="I122" s="180" t="n"/>
      <c r="J122" s="180" t="n"/>
      <c r="K122" s="180" t="n"/>
      <c r="L122" s="180" t="n"/>
      <c r="M122" s="180" t="n"/>
    </row>
    <row r="123" ht="15" customHeight="1" s="182">
      <c r="B123" s="390" t="n"/>
      <c r="C123" s="391" t="n"/>
      <c r="D123" s="391" t="n"/>
      <c r="E123" s="391" t="n"/>
      <c r="F123" s="391" t="n"/>
      <c r="G123" s="391" t="n"/>
      <c r="H123" s="391" t="n"/>
      <c r="I123" s="180" t="n"/>
      <c r="J123" s="180" t="n"/>
      <c r="K123" s="180" t="n"/>
      <c r="L123" s="180" t="n"/>
      <c r="M123" s="180" t="n"/>
    </row>
    <row r="124" ht="15" customHeight="1" s="182">
      <c r="B124" s="390" t="n"/>
      <c r="C124" s="391" t="n"/>
      <c r="D124" s="391" t="n"/>
      <c r="E124" s="391" t="n"/>
      <c r="F124" s="391" t="n"/>
      <c r="G124" s="391" t="n"/>
      <c r="H124" s="391" t="n"/>
      <c r="I124" s="180" t="n"/>
      <c r="J124" s="180" t="n"/>
      <c r="K124" s="180" t="n"/>
      <c r="L124" s="180" t="n"/>
      <c r="M124" s="180" t="n"/>
    </row>
    <row r="125" ht="15" customHeight="1" s="182">
      <c r="B125" s="392" t="inlineStr">
        <is>
          <t>Total</t>
        </is>
      </c>
      <c r="C125" s="393">
        <f>SUM(C88:C124)</f>
        <v/>
      </c>
      <c r="D125" s="393">
        <f>SUM(D88:D124)</f>
        <v/>
      </c>
      <c r="E125" s="393">
        <f>SUM(E88:E124)</f>
        <v/>
      </c>
      <c r="F125" s="393">
        <f>SUM(F88:F124)</f>
        <v/>
      </c>
      <c r="G125" s="393">
        <f>SUM(G88:G124)</f>
        <v/>
      </c>
      <c r="H125" s="394">
        <f>SUM(H88:H124)</f>
        <v/>
      </c>
      <c r="I125" s="180" t="n"/>
      <c r="J125" s="180" t="n"/>
      <c r="K125" s="180" t="n"/>
      <c r="L125" s="180" t="n"/>
      <c r="M125" s="180" t="n"/>
    </row>
    <row r="126" ht="15" customFormat="1" customHeight="1" s="180">
      <c r="B126" s="395" t="n"/>
    </row>
    <row r="127" ht="15" customFormat="1" customHeight="1" s="180"/>
    <row r="128" ht="15" customHeight="1" s="182"/>
    <row r="129" ht="15" customHeight="1" s="182"/>
  </sheetData>
  <mergeCells count="53">
    <mergeCell ref="E12:F12"/>
    <mergeCell ref="H53:H54"/>
    <mergeCell ref="B47:C47"/>
    <mergeCell ref="C6:D6"/>
    <mergeCell ref="J53:J54"/>
    <mergeCell ref="I70:I71"/>
    <mergeCell ref="B62:F62"/>
    <mergeCell ref="G74:G76"/>
    <mergeCell ref="B84:H84"/>
    <mergeCell ref="B70:B71"/>
    <mergeCell ref="C5:D5"/>
    <mergeCell ref="B8:G8"/>
    <mergeCell ref="E5:F5"/>
    <mergeCell ref="B46:C46"/>
    <mergeCell ref="D15:G15"/>
    <mergeCell ref="I5:J6"/>
    <mergeCell ref="J79:K82"/>
    <mergeCell ref="B27:F27"/>
    <mergeCell ref="H7:M7"/>
    <mergeCell ref="B19:G19"/>
    <mergeCell ref="D23:G23"/>
    <mergeCell ref="B45:E45"/>
    <mergeCell ref="B48:C48"/>
    <mergeCell ref="I53:I54"/>
    <mergeCell ref="H70:H71"/>
    <mergeCell ref="H56:H59"/>
    <mergeCell ref="J70:J71"/>
    <mergeCell ref="H74:H77"/>
    <mergeCell ref="C85:D85"/>
    <mergeCell ref="K70:K71"/>
    <mergeCell ref="B53:B54"/>
    <mergeCell ref="D79:H82"/>
    <mergeCell ref="C70:C71"/>
    <mergeCell ref="D31:E32"/>
    <mergeCell ref="E6:F6"/>
    <mergeCell ref="B52:K52"/>
    <mergeCell ref="D59:F59"/>
    <mergeCell ref="D13:G13"/>
    <mergeCell ref="B49:C49"/>
    <mergeCell ref="C53:C54"/>
    <mergeCell ref="D70:G70"/>
    <mergeCell ref="H5:H6"/>
    <mergeCell ref="K53:K54"/>
    <mergeCell ref="E85:F85"/>
    <mergeCell ref="G85:H85"/>
    <mergeCell ref="D53:G53"/>
    <mergeCell ref="B73:K73"/>
    <mergeCell ref="B2:L3"/>
    <mergeCell ref="B69:K69"/>
    <mergeCell ref="B50:C50"/>
    <mergeCell ref="B85:B86"/>
    <mergeCell ref="B78:K78"/>
    <mergeCell ref="D77:F77"/>
  </mergeCells>
  <dataValidations count="9">
    <dataValidation sqref="G6" showDropDown="0" showInputMessage="1" showErrorMessage="1" allowBlank="0" type="list" errorStyle="stop" operator="between">
      <formula1>"April,May,June,July,August,September,October,November,December,January,February,March"</formula1>
      <formula2>0</formula2>
    </dataValidation>
    <dataValidation sqref="C74:K77 C79:K82 D15 D23 D66:E66 E12" showDropDown="0" showInputMessage="1" showErrorMessage="1" allowBlank="1" type="decimal" errorStyle="stop" operator="between">
      <formula1>0</formula1>
      <formula2>10000000000000</formula2>
    </dataValidation>
    <dataValidation sqref="B88:B124" showDropDown="0" showInputMessage="1" showErrorMessage="1" allowBlank="1" type="list" errorStyle="stop" operator="between">
      <formula1>StatesAndUT</formula1>
      <formula2>0</formula2>
    </dataValidation>
    <dataValidation sqref="C37:D38 C41:D41 C65:F65 D48:E49 E38 F37:F38 F41" showDropDown="0" showInputMessage="1" showErrorMessage="1" allowBlank="1" error="Field accepts only numeric value. Maximum: 13 digits with two decimal places." type="decimal" errorStyle="stop" operator="between">
      <formula1>0</formula1>
      <formula2>10000000000000</formula2>
    </dataValidation>
    <dataValidation sqref="E41" showDropDown="0" showInputMessage="1" showErrorMessage="1" allowBlank="1" error="Field accepts only numeric value. Maximum: 13 digits with two decimal places." prompt="State/UT Tax should be same as Central Tax. Value in Central Tax cell will reflect in this field as well" type="decimal" errorStyle="stop" operator="between">
      <formula1>0</formula1>
      <formula2>10000000000000</formula2>
    </dataValidation>
    <dataValidation sqref="C11:G11 C12:D12 C13:C15 C22:G22 C23 C32:C35 C42:D42 C88:H124 D14:G14 D33:D35 F31:F34 F42 G12" showDropDown="0" showInputMessage="1" showErrorMessage="1" allowBlank="1" error="Field accepts only numeric value. Maximum: 13 digits with two decimal places." type="decimal" errorStyle="stop" operator="between">
      <formula1>-10000000000000</formula1>
      <formula2>10000000000000</formula2>
    </dataValidation>
    <dataValidation sqref="E33:E35 E37" showDropDown="0" showInputMessage="1" showErrorMessage="1" allowBlank="1" error="Field accepts only numeric value. Maximum: 13 digits with two decimal places." prompt="State/UT Tax should be same as Central Tax. Value in Central Tax cell will reflect in this field as well" type="decimal" errorStyle="stop" operator="greaterThanOrEqual">
      <formula1>-10000000000000</formula1>
      <formula2>0</formula2>
    </dataValidation>
    <dataValidation sqref="E42" showDropDown="0" showInputMessage="1" showErrorMessage="1" allowBlank="1" error="Field accepts only numeric value. Maximum: 13 digits with two decimal places." prompt="State/UT Tax should be same as Central Tax. Value in Central Tax cell will reflect in this field as well" type="decimal" errorStyle="stop" operator="between">
      <formula1>-10000000000000</formula1>
      <formula2>10000000000000</formula2>
    </dataValidation>
    <dataValidation sqref="G5" showDropDown="0" showInputMessage="1" showErrorMessage="1" allowBlank="0" type="list" errorStyle="stop" operator="between">
      <formula1>Sheet1!$A$1:$A$9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8.5390625" defaultRowHeight="14.25" zeroHeight="0" outlineLevelRow="0"/>
  <sheetData>
    <row r="1" ht="14.25" customHeight="1" s="182">
      <c r="A1" s="396" t="inlineStr">
        <is>
          <t>2017-18</t>
        </is>
      </c>
    </row>
    <row r="2" ht="14.25" customHeight="1" s="182">
      <c r="A2" s="396" t="inlineStr">
        <is>
          <t>2018-19</t>
        </is>
      </c>
    </row>
    <row r="3" ht="14.25" customHeight="1" s="182">
      <c r="A3" s="396" t="inlineStr">
        <is>
          <t>2019-20</t>
        </is>
      </c>
    </row>
    <row r="4" ht="14.25" customHeight="1" s="182">
      <c r="A4" s="396" t="inlineStr">
        <is>
          <t>2020-21</t>
        </is>
      </c>
    </row>
    <row r="5" ht="14.25" customHeight="1" s="182">
      <c r="A5" s="396" t="inlineStr">
        <is>
          <t>2021-22</t>
        </is>
      </c>
    </row>
    <row r="6" ht="14.25" customHeight="1" s="182">
      <c r="A6" s="396" t="inlineStr">
        <is>
          <t>2022-23</t>
        </is>
      </c>
    </row>
    <row r="7" ht="14.25" customHeight="1" s="182">
      <c r="A7" s="396" t="inlineStr">
        <is>
          <t>2023-24</t>
        </is>
      </c>
    </row>
    <row r="8" ht="14.25" customHeight="1" s="182">
      <c r="A8" s="396" t="inlineStr">
        <is>
          <t>2024-25</t>
        </is>
      </c>
    </row>
    <row r="9" ht="14.25" customHeight="1" s="182">
      <c r="A9" s="396" t="inlineStr">
        <is>
          <t>2025-26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39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U3" activeCellId="0" sqref="U3"/>
    </sheetView>
  </sheetViews>
  <sheetFormatPr baseColWidth="8" defaultColWidth="8.5390625" defaultRowHeight="14.25" zeroHeight="0" outlineLevelRow="0"/>
  <cols>
    <col width="44.45" customWidth="1" style="396" min="1" max="1"/>
    <col width="26.18" customWidth="1" style="396" min="2" max="2"/>
    <col width="53.28" customWidth="1" style="396" min="3" max="3"/>
    <col width="6.18" customWidth="1" style="397" min="21" max="21"/>
  </cols>
  <sheetData>
    <row r="1" ht="14.25" customHeight="1" s="182">
      <c r="A1" s="398" t="inlineStr">
        <is>
          <t>POS</t>
        </is>
      </c>
    </row>
    <row r="2" ht="14.25" customHeight="1" s="182">
      <c r="A2" s="399" t="inlineStr">
        <is>
          <t>01-Jammu &amp; Kashmir</t>
        </is>
      </c>
      <c r="B2" s="396">
        <f>IF(COUNTIF('GSTR-3B'!$B$88:$B$124,A2)&gt;=1,"",ROW())</f>
        <v/>
      </c>
      <c r="C2" s="396">
        <f t="array" ref="C2:C39">IF(ROW(A2:A39)-ROW(A2)+1&gt;COUNT(B2:B39),"", INDEX(A:A,SMALL(B2:B39,ROW(INDIRECT("1:"&amp;ROWS(A2:A39))))))</f>
        <v/>
      </c>
    </row>
    <row r="3" ht="14.25" customHeight="1" s="182">
      <c r="A3" s="399" t="inlineStr">
        <is>
          <t>02-Himachal Pradesh</t>
        </is>
      </c>
      <c r="B3" s="396">
        <f>IF(COUNTIF('GSTR-3B'!$B$88:$B$124,A3)&gt;=1,"",ROW())</f>
        <v/>
      </c>
      <c r="C3" s="396" t="inlineStr">
        <is>
          <t>02-Himachal Pradesh</t>
        </is>
      </c>
      <c r="U3" s="397">
        <f>SUM('GSTR-3B'!D88:D124)+SUM('GSTR-3B'!F88:F124)+SUM('GSTR-3B'!H88:H124)</f>
        <v/>
      </c>
    </row>
    <row r="4" ht="14.25" customHeight="1" s="182">
      <c r="A4" s="399" t="inlineStr">
        <is>
          <t>03-Punjab</t>
        </is>
      </c>
      <c r="B4" s="396">
        <f>IF(COUNTIF('GSTR-3B'!$B$88:$B$124,A4)&gt;=1,"",ROW())</f>
        <v/>
      </c>
      <c r="C4" s="396" t="inlineStr">
        <is>
          <t>03-Punjab</t>
        </is>
      </c>
      <c r="U4" s="397">
        <f>IF('GSTR-3B'!C65 = 'GSTR-3B'!J74,)</f>
        <v/>
      </c>
    </row>
    <row r="5" ht="14.25" customHeight="1" s="182">
      <c r="A5" s="399" t="inlineStr">
        <is>
          <t>04-Chandigarh</t>
        </is>
      </c>
      <c r="B5" s="396">
        <f>IF(COUNTIF('GSTR-3B'!$B$88:$B$124,A5)&gt;=1,"",ROW())</f>
        <v/>
      </c>
      <c r="C5" s="396" t="inlineStr">
        <is>
          <t>04-Chandigarh</t>
        </is>
      </c>
      <c r="U5" s="397">
        <f>IF('GSTR-3B'!D65 = 'GSTR-3B'!J75,)</f>
        <v/>
      </c>
    </row>
    <row r="6" ht="14.25" customHeight="1" s="182">
      <c r="A6" s="399" t="inlineStr">
        <is>
          <t>05-Uttarakhand</t>
        </is>
      </c>
      <c r="B6" s="396">
        <f>IF(COUNTIF('GSTR-3B'!$B$88:$B$124,A6)&gt;=1,"",ROW())</f>
        <v/>
      </c>
      <c r="C6" s="396" t="inlineStr">
        <is>
          <t>05-Uttarakhand</t>
        </is>
      </c>
      <c r="U6" s="397">
        <f>IF('GSTR-3B'!E65 = 'GSTR-3B'!J76,)</f>
        <v/>
      </c>
    </row>
    <row r="7" ht="14.25" customHeight="1" s="182">
      <c r="A7" s="399" t="inlineStr">
        <is>
          <t>06-Haryana</t>
        </is>
      </c>
      <c r="B7" s="396">
        <f>IF(COUNTIF('GSTR-3B'!$B$88:$B$124,A7)&gt;=1,"",ROW())</f>
        <v/>
      </c>
      <c r="C7" s="396" t="inlineStr">
        <is>
          <t>06-Haryana</t>
        </is>
      </c>
      <c r="U7" s="397">
        <f>IF('GSTR-3B'!F65 = 'GSTR-3B'!J77,)</f>
        <v/>
      </c>
    </row>
    <row r="8" ht="14.25" customHeight="1" s="182">
      <c r="A8" s="399" t="inlineStr">
        <is>
          <t>07-Delhi</t>
        </is>
      </c>
      <c r="B8" s="396">
        <f>IF(COUNTIF('GSTR-3B'!$B$88:$B$124,A8)&gt;=1,"",ROW())</f>
        <v/>
      </c>
      <c r="C8" s="396" t="inlineStr">
        <is>
          <t>07-Delhi</t>
        </is>
      </c>
    </row>
    <row r="9" ht="14.25" customHeight="1" s="182">
      <c r="A9" s="399" t="inlineStr">
        <is>
          <t>08-Rajasthan</t>
        </is>
      </c>
      <c r="B9" s="396">
        <f>IF(COUNTIF('GSTR-3B'!$B$88:$B$124,A9)&gt;=1,"",ROW())</f>
        <v/>
      </c>
      <c r="C9" s="396" t="inlineStr">
        <is>
          <t>08-Rajasthan</t>
        </is>
      </c>
      <c r="F9" s="396" t="inlineStr">
        <is>
          <t>x</t>
        </is>
      </c>
    </row>
    <row r="10" ht="14.25" customHeight="1" s="182">
      <c r="A10" s="399" t="inlineStr">
        <is>
          <t>09-Uttar Pradesh</t>
        </is>
      </c>
      <c r="B10" s="396">
        <f>IF(COUNTIF('GSTR-3B'!$B$88:$B$124,A10)&gt;=1,"",ROW())</f>
        <v/>
      </c>
      <c r="C10" s="396" t="inlineStr">
        <is>
          <t>09-Uttar Pradesh</t>
        </is>
      </c>
    </row>
    <row r="11" ht="14.25" customHeight="1" s="182">
      <c r="A11" s="399" t="inlineStr">
        <is>
          <t>10-Bihar</t>
        </is>
      </c>
      <c r="B11" s="396">
        <f>IF(COUNTIF('GSTR-3B'!$B$88:$B$124,A11)&gt;=1,"",ROW())</f>
        <v/>
      </c>
      <c r="C11" s="396" t="inlineStr">
        <is>
          <t>10-Bihar</t>
        </is>
      </c>
    </row>
    <row r="12" ht="14.25" customHeight="1" s="182">
      <c r="A12" s="399" t="inlineStr">
        <is>
          <t>11-Sikkim</t>
        </is>
      </c>
      <c r="B12" s="396">
        <f>IF(COUNTIF('GSTR-3B'!$B$88:$B$124,A12)&gt;=1,"",ROW())</f>
        <v/>
      </c>
      <c r="C12" s="396" t="inlineStr">
        <is>
          <t>11-Sikkim</t>
        </is>
      </c>
    </row>
    <row r="13" ht="14.25" customHeight="1" s="182">
      <c r="A13" s="399" t="inlineStr">
        <is>
          <t>12-Arunachal Pradesh</t>
        </is>
      </c>
      <c r="B13" s="396">
        <f>IF(COUNTIF('GSTR-3B'!$B$88:$B$124,A13)&gt;=1,"",ROW())</f>
        <v/>
      </c>
      <c r="C13" s="396" t="inlineStr">
        <is>
          <t>12-Arunachal Pradesh</t>
        </is>
      </c>
    </row>
    <row r="14" ht="14.25" customHeight="1" s="182">
      <c r="A14" s="399" t="inlineStr">
        <is>
          <t>13-Nagaland</t>
        </is>
      </c>
      <c r="B14" s="396">
        <f>IF(COUNTIF('GSTR-3B'!$B$88:$B$124,A14)&gt;=1,"",ROW())</f>
        <v/>
      </c>
      <c r="C14" s="396" t="inlineStr">
        <is>
          <t>13-Nagaland</t>
        </is>
      </c>
    </row>
    <row r="15" ht="14.25" customHeight="1" s="182">
      <c r="A15" s="399" t="inlineStr">
        <is>
          <t>14-Manipur</t>
        </is>
      </c>
      <c r="B15" s="396">
        <f>IF(COUNTIF('GSTR-3B'!$B$88:$B$124,A15)&gt;=1,"",ROW())</f>
        <v/>
      </c>
      <c r="C15" s="396" t="inlineStr">
        <is>
          <t>14-Manipur</t>
        </is>
      </c>
    </row>
    <row r="16" ht="14.25" customHeight="1" s="182">
      <c r="A16" s="399" t="inlineStr">
        <is>
          <t>15-Mizoram</t>
        </is>
      </c>
      <c r="B16" s="396">
        <f>IF(COUNTIF('GSTR-3B'!$B$88:$B$124,A16)&gt;=1,"",ROW())</f>
        <v/>
      </c>
      <c r="C16" s="396" t="inlineStr">
        <is>
          <t>15-Mizoram</t>
        </is>
      </c>
    </row>
    <row r="17" ht="14.25" customHeight="1" s="182">
      <c r="A17" s="399" t="inlineStr">
        <is>
          <t>16-Tripura</t>
        </is>
      </c>
      <c r="B17" s="396">
        <f>IF(COUNTIF('GSTR-3B'!$B$88:$B$124,A17)&gt;=1,"",ROW())</f>
        <v/>
      </c>
      <c r="C17" s="396" t="inlineStr">
        <is>
          <t>16-Tripura</t>
        </is>
      </c>
    </row>
    <row r="18" ht="14.25" customHeight="1" s="182">
      <c r="A18" s="399" t="inlineStr">
        <is>
          <t>17-Meghalaya</t>
        </is>
      </c>
      <c r="B18" s="396">
        <f>IF(COUNTIF('GSTR-3B'!$B$88:$B$124,A18)&gt;=1,"",ROW())</f>
        <v/>
      </c>
      <c r="C18" s="396" t="inlineStr">
        <is>
          <t>17-Meghalaya</t>
        </is>
      </c>
    </row>
    <row r="19" ht="14.25" customHeight="1" s="182">
      <c r="A19" s="399" t="inlineStr">
        <is>
          <t>18-Assam</t>
        </is>
      </c>
      <c r="B19" s="396">
        <f>IF(COUNTIF('GSTR-3B'!$B$88:$B$124,A19)&gt;=1,"",ROW())</f>
        <v/>
      </c>
      <c r="C19" s="396" t="inlineStr">
        <is>
          <t>18-Assam</t>
        </is>
      </c>
    </row>
    <row r="20" ht="14.25" customHeight="1" s="182">
      <c r="A20" s="399" t="inlineStr">
        <is>
          <t>19-West Bengal</t>
        </is>
      </c>
      <c r="B20" s="396">
        <f>IF(COUNTIF('GSTR-3B'!$B$88:$B$124,A20)&gt;=1,"",ROW())</f>
        <v/>
      </c>
      <c r="C20" s="396" t="inlineStr">
        <is>
          <t>19-West Bengal</t>
        </is>
      </c>
    </row>
    <row r="21" ht="14.25" customHeight="1" s="182">
      <c r="A21" s="399" t="inlineStr">
        <is>
          <t>20-Jharkhand</t>
        </is>
      </c>
      <c r="B21" s="396">
        <f>IF(COUNTIF('GSTR-3B'!$B$88:$B$124,A21)&gt;=1,"",ROW())</f>
        <v/>
      </c>
      <c r="C21" s="396" t="inlineStr">
        <is>
          <t>20-Jharkhand</t>
        </is>
      </c>
    </row>
    <row r="22" ht="14.25" customHeight="1" s="182">
      <c r="A22" s="399" t="inlineStr">
        <is>
          <t>21-Odisha</t>
        </is>
      </c>
      <c r="B22" s="396">
        <f>IF(COUNTIF('GSTR-3B'!$B$88:$B$124,A22)&gt;=1,"",ROW())</f>
        <v/>
      </c>
      <c r="C22" s="396" t="inlineStr">
        <is>
          <t>21-Odisha</t>
        </is>
      </c>
    </row>
    <row r="23" ht="14.25" customHeight="1" s="182">
      <c r="A23" s="399" t="inlineStr">
        <is>
          <t>22-Chhattisgarh</t>
        </is>
      </c>
      <c r="B23" s="396">
        <f>IF(COUNTIF('GSTR-3B'!$B$88:$B$124,A23)&gt;=1,"",ROW())</f>
        <v/>
      </c>
      <c r="C23" s="396" t="inlineStr">
        <is>
          <t>22-Chhattisgarh</t>
        </is>
      </c>
    </row>
    <row r="24" ht="14.25" customHeight="1" s="182">
      <c r="A24" s="399" t="inlineStr">
        <is>
          <t>23-Madhya Pradesh</t>
        </is>
      </c>
      <c r="B24" s="396">
        <f>IF(COUNTIF('GSTR-3B'!$B$88:$B$124,A24)&gt;=1,"",ROW())</f>
        <v/>
      </c>
      <c r="C24" s="396" t="inlineStr">
        <is>
          <t>23-Madhya Pradesh</t>
        </is>
      </c>
    </row>
    <row r="25" ht="14.25" customHeight="1" s="182">
      <c r="A25" s="399" t="inlineStr">
        <is>
          <t>24-Gujarat</t>
        </is>
      </c>
      <c r="B25" s="396">
        <f>IF(COUNTIF('GSTR-3B'!$B$88:$B$124,A25)&gt;=1,"",ROW())</f>
        <v/>
      </c>
      <c r="C25" s="396" t="inlineStr">
        <is>
          <t>24-Gujarat</t>
        </is>
      </c>
    </row>
    <row r="26" ht="14.25" customHeight="1" s="182">
      <c r="A26" s="399" t="inlineStr">
        <is>
          <t>25-Daman &amp; Diu</t>
        </is>
      </c>
      <c r="B26" s="396">
        <f>IF(COUNTIF('GSTR-3B'!$B$88:$B$124,A26)&gt;=1,"",ROW())</f>
        <v/>
      </c>
      <c r="C26" s="396" t="inlineStr">
        <is>
          <t>25-Daman &amp; Diu</t>
        </is>
      </c>
    </row>
    <row r="27" ht="15.75" customHeight="1" s="182">
      <c r="A27" s="399" t="inlineStr">
        <is>
          <t>26-Dadra and Nagar Haveli and Daman and Diu</t>
        </is>
      </c>
      <c r="B27" s="396">
        <f>IF(COUNTIF('GSTR-3B'!$B$88:$B$124,A27)&gt;=1,"",ROW())</f>
        <v/>
      </c>
      <c r="C27" s="396" t="inlineStr">
        <is>
          <t>26-Dadra and Nagar Haveli and Daman and Diu</t>
        </is>
      </c>
    </row>
    <row r="28" ht="14.25" customHeight="1" s="182">
      <c r="A28" s="399" t="inlineStr">
        <is>
          <t>27-Maharashtra</t>
        </is>
      </c>
      <c r="B28" s="396">
        <f>IF(COUNTIF('GSTR-3B'!$B$88:$B$124,A28)&gt;=1,"",ROW())</f>
        <v/>
      </c>
      <c r="C28" s="396" t="inlineStr">
        <is>
          <t>27-Maharashtra</t>
        </is>
      </c>
    </row>
    <row r="29" ht="14.25" customHeight="1" s="182">
      <c r="A29" s="399" t="inlineStr">
        <is>
          <t>29-Karnataka</t>
        </is>
      </c>
      <c r="B29" s="396">
        <f>IF(COUNTIF('GSTR-3B'!$B$88:$B$124,A29)&gt;=1,"",ROW())</f>
        <v/>
      </c>
      <c r="C29" s="396" t="inlineStr">
        <is>
          <t>29-Karnataka</t>
        </is>
      </c>
    </row>
    <row r="30" ht="14.25" customHeight="1" s="182">
      <c r="A30" s="399" t="inlineStr">
        <is>
          <t>30-Goa</t>
        </is>
      </c>
      <c r="B30" s="396">
        <f>IF(COUNTIF('GSTR-3B'!$B$88:$B$124,A30)&gt;=1,"",ROW())</f>
        <v/>
      </c>
      <c r="C30" s="396" t="inlineStr">
        <is>
          <t>30-Goa</t>
        </is>
      </c>
    </row>
    <row r="31" ht="14.25" customHeight="1" s="182">
      <c r="A31" s="399" t="inlineStr">
        <is>
          <t>31-Lakshdweep</t>
        </is>
      </c>
      <c r="B31" s="396">
        <f>IF(COUNTIF('GSTR-3B'!$B$88:$B$124,A31)&gt;=1,"",ROW())</f>
        <v/>
      </c>
      <c r="C31" s="396" t="inlineStr">
        <is>
          <t>31-Lakshdweep</t>
        </is>
      </c>
    </row>
    <row r="32" ht="14.25" customHeight="1" s="182">
      <c r="A32" s="399" t="inlineStr">
        <is>
          <t>32-Kerala</t>
        </is>
      </c>
      <c r="B32" s="396">
        <f>IF(COUNTIF('GSTR-3B'!$B$88:$B$124,A32)&gt;=1,"",ROW())</f>
        <v/>
      </c>
      <c r="C32" s="396" t="inlineStr">
        <is>
          <t>32-Kerala</t>
        </is>
      </c>
    </row>
    <row r="33" ht="14.25" customHeight="1" s="182">
      <c r="A33" s="399" t="inlineStr">
        <is>
          <t>33-Tamil Nadu</t>
        </is>
      </c>
      <c r="B33" s="396">
        <f>IF(COUNTIF('GSTR-3B'!$B$88:$B$124,A33)&gt;=1,"",ROW())</f>
        <v/>
      </c>
      <c r="C33" s="396" t="inlineStr">
        <is>
          <t>33-Tamil Nadu</t>
        </is>
      </c>
    </row>
    <row r="34" ht="14.25" customHeight="1" s="182">
      <c r="A34" s="399" t="inlineStr">
        <is>
          <t>34-Puducherry</t>
        </is>
      </c>
      <c r="B34" s="396">
        <f>IF(COUNTIF('GSTR-3B'!$B$88:$B$124,A34)&gt;=1,"",ROW())</f>
        <v/>
      </c>
      <c r="C34" s="396" t="inlineStr">
        <is>
          <t>34-Puducherry</t>
        </is>
      </c>
    </row>
    <row r="35" ht="14.25" customHeight="1" s="182">
      <c r="A35" s="399" t="inlineStr">
        <is>
          <t>35-Andaman &amp; Nicobar Islands</t>
        </is>
      </c>
      <c r="B35" s="396">
        <f>IF(COUNTIF('GSTR-3B'!$B$88:$B$124,A35)&gt;=1,"",ROW())</f>
        <v/>
      </c>
      <c r="C35" s="396" t="inlineStr">
        <is>
          <t>35-Andaman &amp; Nicobar Islands</t>
        </is>
      </c>
    </row>
    <row r="36" ht="14.25" customHeight="1" s="182">
      <c r="A36" s="399" t="inlineStr">
        <is>
          <t>36-Telengana</t>
        </is>
      </c>
      <c r="B36" s="396">
        <f>IF(COUNTIF('GSTR-3B'!$B$88:$B$124,A36)&gt;=1,"",ROW())</f>
        <v/>
      </c>
      <c r="C36" s="396" t="inlineStr">
        <is>
          <t>36-Telengana</t>
        </is>
      </c>
    </row>
    <row r="37" ht="14.25" customHeight="1" s="182">
      <c r="A37" s="399" t="inlineStr">
        <is>
          <t>37-Andhra Pradesh</t>
        </is>
      </c>
      <c r="B37" s="396">
        <f>IF(COUNTIF('GSTR-3B'!$B$88:$B$124,A37)&gt;=1,"",ROW())</f>
        <v/>
      </c>
      <c r="C37" s="396" t="inlineStr">
        <is>
          <t>37-Andhra Pradesh</t>
        </is>
      </c>
    </row>
    <row r="38" ht="14.25" customHeight="1" s="182">
      <c r="A38" s="400" t="inlineStr">
        <is>
          <t>38-Ladakh</t>
        </is>
      </c>
      <c r="B38" s="396">
        <f>IF(COUNTIF('GSTR-3B'!$B$88:$B$124,A38)&gt;=1,"",ROW())</f>
        <v/>
      </c>
      <c r="C38" s="396" t="inlineStr">
        <is>
          <t>38-Ladakh</t>
        </is>
      </c>
    </row>
    <row r="39" ht="14.25" customHeight="1" s="182">
      <c r="A39" s="400" t="inlineStr">
        <is>
          <t>97-Other Territory</t>
        </is>
      </c>
      <c r="B39" s="396">
        <f>IF(COUNTIF('GSTR-3B'!$B$88:$B$124,A39)&gt;=1,"",ROW())</f>
        <v/>
      </c>
      <c r="C39" s="396" t="inlineStr">
        <is>
          <t>97-Other Territory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Gajanan U Khanande</dc:creator>
  <dc:language>en-IN</dc:language>
  <dcterms:created xsi:type="dcterms:W3CDTF">2017-06-23T16:57:24Z</dcterms:created>
  <dcterms:modified xsi:type="dcterms:W3CDTF">2025-10-10T13:10:38Z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0819fa7-4367-4500-ba88-dd630d977609_ActionId" fmtid="{D5CDD505-2E9C-101B-9397-08002B2CF9AE}" pid="2">
    <vt:lpwstr>2cdd17d3-25ab-46f7-ab6f-5aef2940ede1</vt:lpwstr>
  </property>
  <property name="MSIP_Label_a0819fa7-4367-4500-ba88-dd630d977609_ContentBits" fmtid="{D5CDD505-2E9C-101B-9397-08002B2CF9AE}" pid="3">
    <vt:lpwstr>0</vt:lpwstr>
  </property>
  <property name="MSIP_Label_a0819fa7-4367-4500-ba88-dd630d977609_Enabled" fmtid="{D5CDD505-2E9C-101B-9397-08002B2CF9AE}" pid="4">
    <vt:lpwstr>true</vt:lpwstr>
  </property>
  <property name="MSIP_Label_a0819fa7-4367-4500-ba88-dd630d977609_Method" fmtid="{D5CDD505-2E9C-101B-9397-08002B2CF9AE}" pid="5">
    <vt:lpwstr>Standard</vt:lpwstr>
  </property>
  <property name="MSIP_Label_a0819fa7-4367-4500-ba88-dd630d977609_Name" fmtid="{D5CDD505-2E9C-101B-9397-08002B2CF9AE}" pid="6">
    <vt:lpwstr>a0819fa7-4367-4500-ba88-dd630d977609</vt:lpwstr>
  </property>
  <property name="MSIP_Label_a0819fa7-4367-4500-ba88-dd630d977609_SetDate" fmtid="{D5CDD505-2E9C-101B-9397-08002B2CF9AE}" pid="7">
    <vt:lpwstr>2022-08-08T08:17:30Z</vt:lpwstr>
  </property>
  <property name="MSIP_Label_a0819fa7-4367-4500-ba88-dd630d977609_SiteId" fmtid="{D5CDD505-2E9C-101B-9397-08002B2CF9AE}" pid="8">
    <vt:lpwstr>63ce7d59-2f3e-42cd-a8cc-be764cff5eb6</vt:lpwstr>
  </property>
  <property name="MSIP_Label_be4b3411-284d-4d31-bd4f-bc13ef7f1fd6_ActionId" fmtid="{D5CDD505-2E9C-101B-9397-08002B2CF9AE}" pid="9">
    <vt:lpwstr>2cdd17d3-25ab-46f7-ab6f-5aef2940ede1</vt:lpwstr>
  </property>
  <property name="MSIP_Label_be4b3411-284d-4d31-bd4f-bc13ef7f1fd6_Application" fmtid="{D5CDD505-2E9C-101B-9397-08002B2CF9AE}" pid="10">
    <vt:lpwstr>Microsoft Azure Information Protection</vt:lpwstr>
  </property>
  <property name="MSIP_Label_be4b3411-284d-4d31-bd4f-bc13ef7f1fd6_Enabled" fmtid="{D5CDD505-2E9C-101B-9397-08002B2CF9AE}" pid="11">
    <vt:lpwstr>True</vt:lpwstr>
  </property>
  <property name="MSIP_Label_be4b3411-284d-4d31-bd4f-bc13ef7f1fd6_Extended_MSFT_Method" fmtid="{D5CDD505-2E9C-101B-9397-08002B2CF9AE}" pid="12">
    <vt:lpwstr>Automatic</vt:lpwstr>
  </property>
  <property name="MSIP_Label_be4b3411-284d-4d31-bd4f-bc13ef7f1fd6_Name" fmtid="{D5CDD505-2E9C-101B-9397-08002B2CF9AE}" pid="13">
    <vt:lpwstr>Internal</vt:lpwstr>
  </property>
  <property name="MSIP_Label_be4b3411-284d-4d31-bd4f-bc13ef7f1fd6_Owner" fmtid="{D5CDD505-2E9C-101B-9397-08002B2CF9AE}" pid="14">
    <vt:lpwstr>aditya.singh51@ad.infosys.com</vt:lpwstr>
  </property>
  <property name="MSIP_Label_be4b3411-284d-4d31-bd4f-bc13ef7f1fd6_SetDate" fmtid="{D5CDD505-2E9C-101B-9397-08002B2CF9AE}" pid="15">
    <vt:lpwstr>2019-11-15T08:06:34.4068154Z</vt:lpwstr>
  </property>
  <property name="MSIP_Label_be4b3411-284d-4d31-bd4f-bc13ef7f1fd6_SiteId" fmtid="{D5CDD505-2E9C-101B-9397-08002B2CF9AE}" pid="16">
    <vt:lpwstr>63ce7d59-2f3e-42cd-a8cc-be764cff5eb6</vt:lpwstr>
  </property>
</Properties>
</file>